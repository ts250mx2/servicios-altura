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a81ed0434a57e4b/Desktop/COSTEO Y COTIZACIONES 2026/COSTEO Y COTIZACIONES 2026/COSTEOS/08. AGOSTO/"/>
    </mc:Choice>
  </mc:AlternateContent>
  <xr:revisionPtr revIDLastSave="11" documentId="8_{A36C6DBA-449F-4E81-8210-DEB5E562C6E1}" xr6:coauthVersionLast="47" xr6:coauthVersionMax="47" xr10:uidLastSave="{831B985D-0EBE-45C2-BBCE-E795B53EBFED}"/>
  <bookViews>
    <workbookView xWindow="-120" yWindow="-120" windowWidth="29040" windowHeight="15720" xr2:uid="{00000000-000D-0000-FFFF-FFFF00000000}"/>
  </bookViews>
  <sheets>
    <sheet name="Gastos proyecto" sheetId="8" r:id="rId1"/>
    <sheet name="Nomina" sheetId="10" r:id="rId2"/>
    <sheet name="Equipo" sheetId="4" state="hidden" r:id="rId3"/>
    <sheet name="Imss" sheetId="11" r:id="rId4"/>
    <sheet name="Insumos" sheetId="13" r:id="rId5"/>
    <sheet name="Bonos" sheetId="14" r:id="rId6"/>
    <sheet name="Gasolina" sheetId="12" r:id="rId7"/>
    <sheet name="Administrativos" sheetId="5" r:id="rId8"/>
    <sheet name="Desgaste de Equipo" sheetId="9" r:id="rId9"/>
    <sheet name="Epp" sheetId="16" r:id="rId10"/>
    <sheet name="Compra de Equipo" sheetId="17" r:id="rId11"/>
    <sheet name="Tabla de montos " sheetId="18" r:id="rId12"/>
  </sheets>
  <definedNames>
    <definedName name="_xlnm.Print_Area" localSheetId="0">'Gastos proyecto'!$A$1:$G$35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" i="8" l="1"/>
  <c r="H12" i="8" l="1"/>
  <c r="D6" i="10"/>
  <c r="D23" i="10"/>
  <c r="D7" i="10"/>
  <c r="D8" i="10"/>
  <c r="D9" i="10"/>
  <c r="D10" i="10"/>
  <c r="D11" i="10"/>
  <c r="D12" i="10"/>
  <c r="AJ14" i="11" l="1"/>
  <c r="AJ13" i="11"/>
  <c r="D13" i="10"/>
  <c r="AJ13" i="10" l="1"/>
  <c r="AJ12" i="10"/>
  <c r="AJ11" i="10"/>
  <c r="AJ10" i="10"/>
  <c r="B5" i="8" l="1"/>
  <c r="AJ7" i="11" l="1"/>
  <c r="BN7" i="11" l="1"/>
  <c r="AJ12" i="11"/>
  <c r="BN12" i="11" s="1"/>
  <c r="AJ11" i="11"/>
  <c r="BN11" i="11" s="1"/>
  <c r="AJ10" i="11"/>
  <c r="BN10" i="11" s="1"/>
  <c r="AJ9" i="11"/>
  <c r="BN9" i="11" s="1"/>
  <c r="AJ8" i="11"/>
  <c r="BN8" i="11" s="1"/>
  <c r="AJ6" i="10"/>
  <c r="AJ7" i="10"/>
  <c r="AJ8" i="10"/>
  <c r="AJ9" i="10"/>
  <c r="BN14" i="11"/>
  <c r="AH9" i="9"/>
  <c r="AH10" i="9"/>
  <c r="AH11" i="9"/>
  <c r="AH12" i="9"/>
  <c r="AH13" i="9"/>
  <c r="AJ15" i="11" l="1"/>
  <c r="AJ14" i="10"/>
  <c r="C2" i="10" s="1"/>
  <c r="C3" i="10" s="1"/>
  <c r="C2" i="11"/>
  <c r="C3" i="11" s="1"/>
  <c r="BN15" i="11"/>
  <c r="C29" i="8"/>
  <c r="C27" i="8"/>
  <c r="C34" i="8" l="1"/>
  <c r="C33" i="8"/>
  <c r="B14" i="17"/>
  <c r="B2" i="17" s="1"/>
  <c r="B3" i="17" s="1"/>
  <c r="B14" i="16"/>
  <c r="B2" i="16" s="1"/>
  <c r="B3" i="16" l="1"/>
  <c r="D33" i="8"/>
  <c r="E33" i="8" s="1"/>
  <c r="D34" i="8"/>
  <c r="E34" i="8" s="1"/>
  <c r="E35" i="13"/>
  <c r="C2" i="13" s="1"/>
  <c r="G17" i="8" s="1"/>
  <c r="AH8" i="9" l="1"/>
  <c r="AH14" i="9" s="1"/>
  <c r="C28" i="8"/>
  <c r="D29" i="14"/>
  <c r="C2" i="14" s="1"/>
  <c r="D28" i="8" s="1"/>
  <c r="E28" i="8" l="1"/>
  <c r="D27" i="8"/>
  <c r="C31" i="8"/>
  <c r="C30" i="8"/>
  <c r="C26" i="8"/>
  <c r="C22" i="12"/>
  <c r="B14" i="5"/>
  <c r="B2" i="5" s="1"/>
  <c r="D31" i="8" s="1"/>
  <c r="D35" i="13"/>
  <c r="C1" i="13" s="1"/>
  <c r="C3" i="13" s="1"/>
  <c r="C12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C10" i="4"/>
  <c r="D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D12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B4" i="4"/>
  <c r="B5" i="4" s="1"/>
  <c r="AP12" i="4" l="1"/>
  <c r="E10" i="4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1" i="4"/>
  <c r="AP9" i="4"/>
  <c r="C35" i="8"/>
  <c r="C12" i="8" s="1"/>
  <c r="C13" i="8" s="1"/>
  <c r="E32" i="8"/>
  <c r="C17" i="8"/>
  <c r="C2" i="12"/>
  <c r="D29" i="8" s="1"/>
  <c r="E29" i="8" s="1"/>
  <c r="E31" i="8"/>
  <c r="E27" i="8"/>
  <c r="B2" i="9"/>
  <c r="B3" i="5"/>
  <c r="AP10" i="4" l="1"/>
  <c r="AP13" i="4"/>
  <c r="D26" i="8"/>
  <c r="D30" i="8"/>
  <c r="E30" i="8" s="1"/>
  <c r="B3" i="9"/>
  <c r="C14" i="8"/>
  <c r="C15" i="8" s="1"/>
  <c r="D35" i="8" l="1"/>
  <c r="C16" i="8"/>
  <c r="C18" i="8" s="1"/>
  <c r="C19" i="8" l="1"/>
  <c r="C20" i="8" s="1"/>
  <c r="G12" i="8"/>
  <c r="E26" i="8"/>
  <c r="E35" i="8" s="1"/>
  <c r="C21" i="8" l="1"/>
  <c r="C22" i="8" s="1"/>
  <c r="D37" i="8"/>
  <c r="G13" i="8"/>
  <c r="C23" i="8" l="1"/>
  <c r="G10" i="8"/>
  <c r="G14" i="8"/>
  <c r="G15" i="8" s="1"/>
  <c r="G16" i="8" l="1"/>
  <c r="G18" i="8" s="1"/>
  <c r="G19" i="8" s="1"/>
  <c r="G20" i="8" l="1"/>
  <c r="G21" i="8" s="1"/>
  <c r="G22" i="8" s="1"/>
  <c r="G23" i="8" l="1"/>
</calcChain>
</file>

<file path=xl/sharedStrings.xml><?xml version="1.0" encoding="utf-8"?>
<sst xmlns="http://schemas.openxmlformats.org/spreadsheetml/2006/main" count="321" uniqueCount="132">
  <si>
    <t>Usuario:</t>
  </si>
  <si>
    <t>Cotización:</t>
  </si>
  <si>
    <t>Planta:</t>
  </si>
  <si>
    <t>Hoja de levantamiento:</t>
  </si>
  <si>
    <t>Proyecto:</t>
  </si>
  <si>
    <t>Gasto total plan</t>
  </si>
  <si>
    <t>Gasto total Real</t>
  </si>
  <si>
    <t>Gasto total planeado</t>
  </si>
  <si>
    <t>Gasto total real</t>
  </si>
  <si>
    <t>Utilidad Real</t>
  </si>
  <si>
    <t>Concepto</t>
  </si>
  <si>
    <t>Gasto plan</t>
  </si>
  <si>
    <t>Gasto real</t>
  </si>
  <si>
    <t>Diferencia</t>
  </si>
  <si>
    <t>Comentarios</t>
  </si>
  <si>
    <t>Nomina</t>
  </si>
  <si>
    <t>Gasolina</t>
  </si>
  <si>
    <t>Imss</t>
  </si>
  <si>
    <t>Equipo</t>
  </si>
  <si>
    <t>Administrativo</t>
  </si>
  <si>
    <t>Insumos</t>
  </si>
  <si>
    <t>Total</t>
  </si>
  <si>
    <t>DIFERENCIA</t>
  </si>
  <si>
    <t>COMENTARIO:</t>
  </si>
  <si>
    <t>PRESUPUESTO</t>
  </si>
  <si>
    <t>GASTO REAL</t>
  </si>
  <si>
    <t>DIFERENCIA (+/-)</t>
  </si>
  <si>
    <t>ITEM</t>
  </si>
  <si>
    <t>TRABAJADOR</t>
  </si>
  <si>
    <t>SALARIO 
SEMANAL</t>
  </si>
  <si>
    <t>SALARIO 
DIARIO</t>
  </si>
  <si>
    <t>EQUIPO</t>
  </si>
  <si>
    <t>DIAS</t>
  </si>
  <si>
    <t>IMSS DIARIO</t>
  </si>
  <si>
    <t>MARCOS TOVAR</t>
  </si>
  <si>
    <t>LUIS MORENO</t>
  </si>
  <si>
    <t>ALFRDO</t>
  </si>
  <si>
    <t>ALAN CRUZ</t>
  </si>
  <si>
    <t>TOTAL</t>
  </si>
  <si>
    <t>SALARIO SEMANAL</t>
  </si>
  <si>
    <t>INSUMOS</t>
  </si>
  <si>
    <t>NO</t>
  </si>
  <si>
    <t>CONCEPTO</t>
  </si>
  <si>
    <t>UNIDADES</t>
  </si>
  <si>
    <t>COSTO</t>
  </si>
  <si>
    <t>FECHA</t>
  </si>
  <si>
    <t>COMENTARIOS</t>
  </si>
  <si>
    <t>GASOLINA</t>
  </si>
  <si>
    <t>CANTIDAD</t>
  </si>
  <si>
    <t>RUTAS</t>
  </si>
  <si>
    <t>GASTOS ADMINISTRATIVOS</t>
  </si>
  <si>
    <t>COSTO DIA</t>
  </si>
  <si>
    <t>TECNICO 1</t>
  </si>
  <si>
    <t>TECNICO 2</t>
  </si>
  <si>
    <t>TECNICO 3</t>
  </si>
  <si>
    <t>TECNICO 4</t>
  </si>
  <si>
    <t>Bonos</t>
  </si>
  <si>
    <t>BONOS</t>
  </si>
  <si>
    <t>COSTO PLAN</t>
  </si>
  <si>
    <t>COSTO REAL</t>
  </si>
  <si>
    <t>Vendedor:</t>
  </si>
  <si>
    <t>Fecha de emision:</t>
  </si>
  <si>
    <t>Hoja de entrega:</t>
  </si>
  <si>
    <t>Personal:</t>
  </si>
  <si>
    <t>Dias de trabajo:</t>
  </si>
  <si>
    <t>Costo sin Iva</t>
  </si>
  <si>
    <t>Comisión Vendedor</t>
  </si>
  <si>
    <t>Epp</t>
  </si>
  <si>
    <t>Desgaste de equipo</t>
  </si>
  <si>
    <t xml:space="preserve">NOTA: </t>
  </si>
  <si>
    <t>Cosideradolo siguiente:</t>
  </si>
  <si>
    <t>Lentes</t>
  </si>
  <si>
    <t>Playeras</t>
  </si>
  <si>
    <t>Pantalones</t>
  </si>
  <si>
    <t>Chaleco</t>
  </si>
  <si>
    <t>Zapatos</t>
  </si>
  <si>
    <t>Casco</t>
  </si>
  <si>
    <t>Mochila</t>
  </si>
  <si>
    <t>Arnes</t>
  </si>
  <si>
    <t>Mosqueton</t>
  </si>
  <si>
    <t>Silla</t>
  </si>
  <si>
    <t>Posa pie</t>
  </si>
  <si>
    <t>Rig</t>
  </si>
  <si>
    <t>Shunt</t>
  </si>
  <si>
    <t>Asensor</t>
  </si>
  <si>
    <t>Absorbica</t>
  </si>
  <si>
    <t>Guantes tecnico</t>
  </si>
  <si>
    <t>Guante de trabajo</t>
  </si>
  <si>
    <t>Cuerdas</t>
  </si>
  <si>
    <t>EPP</t>
  </si>
  <si>
    <t>MONTOS</t>
  </si>
  <si>
    <t>COMPRA DE EQUIPOS</t>
  </si>
  <si>
    <t>Impuestos 10%</t>
  </si>
  <si>
    <t>Administrativos ( 5% - 10% - 15% )</t>
  </si>
  <si>
    <t>Total Plan</t>
  </si>
  <si>
    <t>Gasto plan Total</t>
  </si>
  <si>
    <t>Total Real</t>
  </si>
  <si>
    <t>Insumos 30%</t>
  </si>
  <si>
    <t>Financiamiento</t>
  </si>
  <si>
    <t>VIE.</t>
  </si>
  <si>
    <t>SÁB.</t>
  </si>
  <si>
    <t>DOM.</t>
  </si>
  <si>
    <t>LUN.</t>
  </si>
  <si>
    <t>MAR.</t>
  </si>
  <si>
    <t>MIÉ.</t>
  </si>
  <si>
    <t>JUE.</t>
  </si>
  <si>
    <t>TECNICO 5</t>
  </si>
  <si>
    <t>TECNICO 6</t>
  </si>
  <si>
    <t>TECNICO 7</t>
  </si>
  <si>
    <t>TECNICO 8</t>
  </si>
  <si>
    <t>ISR</t>
  </si>
  <si>
    <t>ENERO</t>
  </si>
  <si>
    <t>6744 SERVICIO POR LIMPIEZA Y APLICACIÓN DE SILICÓN DURETAN EN ALUMINIO Y CRISTAL, MURO Y ALUMINIO DE LOS VENTANALES DE LA PARROQUIA (EXTERIOR) IGLESIA SAN JUAN DE LOS LAGOS</t>
  </si>
  <si>
    <t>JAVIER LOZANO</t>
  </si>
  <si>
    <t>IGLESIA SAN JUAN DE LOS LAGOS</t>
  </si>
  <si>
    <t>JUAN GAYTAN</t>
  </si>
  <si>
    <t>CARTUCHOS DE SILICON DURETAN BASE DE POLIURETANO NEGRO</t>
  </si>
  <si>
    <t>ROLLOS DE CINTA ADESHIVA MASKINGTAPE DE 3/4 X 20 MTRS DE LARGO</t>
  </si>
  <si>
    <t>PACA DE TRAPO TIPO INDUSTRIAL DE 25 KILOS</t>
  </si>
  <si>
    <t>COSTALES GRANDE PARA LA BASURA</t>
  </si>
  <si>
    <t>GALONES DE TINHHER</t>
  </si>
  <si>
    <t>PAQUETES DE REPUESTOS DE NAVAJA</t>
  </si>
  <si>
    <t>PISTOLAS CALEFATEADORAS</t>
  </si>
  <si>
    <t>CUBETAS VACIAS DE 19 LITROS</t>
  </si>
  <si>
    <t>EXACTOS</t>
  </si>
  <si>
    <t>ATOMIZADORES</t>
  </si>
  <si>
    <t>JABON LIQUIDO</t>
  </si>
  <si>
    <t>COSTEO</t>
  </si>
  <si>
    <t>6 TEC EN ALT. POR 5 DIAS</t>
  </si>
  <si>
    <t>AUTORIZA RODOLFO</t>
  </si>
  <si>
    <t>BONAICE 6 TEC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</si>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</sst>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d/m/yy;@"/>
    <numFmt numFmtId="165" formatCode="_-&quot;$&quot;* #,##0_-;\-&quot;$&quot;* #,##0_-;_-&quot;$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5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1" xfId="0" applyFont="1" applyFill="1" applyBorder="1"/>
    <xf numFmtId="44" fontId="7" fillId="0" borderId="1" xfId="0" applyNumberFormat="1" applyFont="1" applyBorder="1"/>
    <xf numFmtId="44" fontId="7" fillId="3" borderId="1" xfId="0" applyNumberFormat="1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/>
    <xf numFmtId="164" fontId="6" fillId="2" borderId="2" xfId="0" applyNumberFormat="1" applyFont="1" applyFill="1" applyBorder="1" applyAlignment="1">
      <alignment horizontal="center" vertical="center"/>
    </xf>
    <xf numFmtId="44" fontId="8" fillId="0" borderId="1" xfId="0" applyNumberFormat="1" applyFont="1" applyBorder="1"/>
    <xf numFmtId="165" fontId="6" fillId="0" borderId="1" xfId="1" applyNumberFormat="1" applyFont="1" applyBorder="1"/>
    <xf numFmtId="165" fontId="6" fillId="0" borderId="5" xfId="1" applyNumberFormat="1" applyFont="1" applyBorder="1"/>
    <xf numFmtId="165" fontId="6" fillId="0" borderId="0" xfId="0" applyNumberFormat="1" applyFont="1"/>
    <xf numFmtId="165" fontId="6" fillId="2" borderId="1" xfId="0" applyNumberFormat="1" applyFont="1" applyFill="1" applyBorder="1"/>
    <xf numFmtId="165" fontId="7" fillId="0" borderId="0" xfId="0" applyNumberFormat="1" applyFont="1"/>
    <xf numFmtId="165" fontId="7" fillId="0" borderId="1" xfId="1" applyNumberFormat="1" applyFont="1" applyBorder="1"/>
    <xf numFmtId="165" fontId="6" fillId="0" borderId="1" xfId="0" applyNumberFormat="1" applyFont="1" applyBorder="1"/>
    <xf numFmtId="44" fontId="0" fillId="0" borderId="1" xfId="1" applyFont="1" applyBorder="1"/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44" fontId="11" fillId="0" borderId="0" xfId="1" applyFont="1" applyBorder="1"/>
    <xf numFmtId="0" fontId="10" fillId="2" borderId="1" xfId="0" applyFont="1" applyFill="1" applyBorder="1"/>
    <xf numFmtId="0" fontId="11" fillId="0" borderId="0" xfId="0" applyFont="1"/>
    <xf numFmtId="44" fontId="11" fillId="0" borderId="1" xfId="1" applyFont="1" applyBorder="1"/>
    <xf numFmtId="44" fontId="11" fillId="0" borderId="0" xfId="0" applyNumberFormat="1" applyFont="1"/>
    <xf numFmtId="44" fontId="10" fillId="0" borderId="1" xfId="1" applyFont="1" applyBorder="1"/>
    <xf numFmtId="0" fontId="8" fillId="2" borderId="1" xfId="0" applyFont="1" applyFill="1" applyBorder="1"/>
    <xf numFmtId="44" fontId="0" fillId="0" borderId="1" xfId="0" applyNumberFormat="1" applyBorder="1"/>
    <xf numFmtId="14" fontId="8" fillId="0" borderId="1" xfId="0" applyNumberFormat="1" applyFont="1" applyBorder="1"/>
    <xf numFmtId="44" fontId="8" fillId="0" borderId="1" xfId="1" applyFont="1" applyBorder="1"/>
    <xf numFmtId="44" fontId="7" fillId="0" borderId="1" xfId="1" applyFont="1" applyBorder="1"/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44" fontId="2" fillId="0" borderId="1" xfId="1" applyFont="1" applyBorder="1"/>
    <xf numFmtId="44" fontId="3" fillId="0" borderId="1" xfId="0" applyNumberFormat="1" applyFont="1" applyBorder="1"/>
    <xf numFmtId="44" fontId="3" fillId="3" borderId="1" xfId="0" applyNumberFormat="1" applyFont="1" applyFill="1" applyBorder="1"/>
    <xf numFmtId="14" fontId="6" fillId="0" borderId="1" xfId="0" applyNumberFormat="1" applyFont="1" applyBorder="1"/>
    <xf numFmtId="44" fontId="6" fillId="0" borderId="1" xfId="1" applyFont="1" applyBorder="1"/>
    <xf numFmtId="44" fontId="7" fillId="0" borderId="0" xfId="1" applyFont="1" applyBorder="1"/>
    <xf numFmtId="44" fontId="7" fillId="0" borderId="0" xfId="0" applyNumberFormat="1" applyFont="1"/>
    <xf numFmtId="44" fontId="0" fillId="0" borderId="0" xfId="0" applyNumberFormat="1"/>
    <xf numFmtId="44" fontId="0" fillId="0" borderId="3" xfId="0" applyNumberFormat="1" applyBorder="1"/>
    <xf numFmtId="0" fontId="8" fillId="0" borderId="0" xfId="0" applyFont="1"/>
    <xf numFmtId="0" fontId="0" fillId="0" borderId="3" xfId="0" applyBorder="1"/>
    <xf numFmtId="0" fontId="0" fillId="0" borderId="7" xfId="0" applyBorder="1"/>
    <xf numFmtId="44" fontId="0" fillId="0" borderId="7" xfId="0" applyNumberFormat="1" applyBorder="1"/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3" fillId="0" borderId="0" xfId="1" applyFont="1"/>
    <xf numFmtId="0" fontId="7" fillId="0" borderId="1" xfId="0" applyFont="1" applyBorder="1"/>
    <xf numFmtId="44" fontId="7" fillId="0" borderId="8" xfId="1" applyFont="1" applyFill="1" applyBorder="1"/>
    <xf numFmtId="14" fontId="0" fillId="0" borderId="1" xfId="0" applyNumberFormat="1" applyBorder="1"/>
    <xf numFmtId="44" fontId="7" fillId="0" borderId="1" xfId="1" applyFont="1" applyFill="1" applyBorder="1"/>
    <xf numFmtId="44" fontId="0" fillId="0" borderId="1" xfId="1" applyFont="1" applyFill="1" applyBorder="1"/>
    <xf numFmtId="14" fontId="7" fillId="0" borderId="1" xfId="0" applyNumberFormat="1" applyFont="1" applyBorder="1"/>
    <xf numFmtId="14" fontId="7" fillId="0" borderId="1" xfId="1" applyNumberFormat="1" applyFont="1" applyFill="1" applyBorder="1"/>
    <xf numFmtId="0" fontId="0" fillId="0" borderId="1" xfId="0" applyBorder="1"/>
    <xf numFmtId="44" fontId="7" fillId="0" borderId="0" xfId="1" applyFont="1"/>
    <xf numFmtId="14" fontId="7" fillId="0" borderId="1" xfId="1" applyNumberFormat="1" applyFont="1" applyBorder="1"/>
    <xf numFmtId="0" fontId="15" fillId="0" borderId="0" xfId="0" applyFont="1"/>
    <xf numFmtId="0" fontId="12" fillId="2" borderId="1" xfId="0" applyFont="1" applyFill="1" applyBorder="1"/>
    <xf numFmtId="44" fontId="12" fillId="0" borderId="1" xfId="1" applyFont="1" applyBorder="1"/>
    <xf numFmtId="44" fontId="15" fillId="0" borderId="1" xfId="0" applyNumberFormat="1" applyFont="1" applyBorder="1"/>
    <xf numFmtId="44" fontId="16" fillId="0" borderId="1" xfId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4" fontId="15" fillId="0" borderId="0" xfId="0" applyNumberFormat="1" applyFont="1"/>
    <xf numFmtId="0" fontId="12" fillId="0" borderId="0" xfId="0" applyFont="1"/>
    <xf numFmtId="44" fontId="11" fillId="5" borderId="1" xfId="1" applyFont="1" applyFill="1" applyBorder="1"/>
    <xf numFmtId="0" fontId="6" fillId="0" borderId="1" xfId="0" applyFont="1" applyBorder="1"/>
    <xf numFmtId="0" fontId="6" fillId="0" borderId="9" xfId="0" applyFont="1" applyBorder="1"/>
    <xf numFmtId="44" fontId="13" fillId="0" borderId="9" xfId="1" applyFont="1" applyBorder="1"/>
    <xf numFmtId="0" fontId="6" fillId="2" borderId="5" xfId="0" applyFont="1" applyFill="1" applyBorder="1" applyAlignment="1">
      <alignment horizontal="center" vertical="center"/>
    </xf>
    <xf numFmtId="44" fontId="13" fillId="0" borderId="5" xfId="1" applyFont="1" applyBorder="1"/>
    <xf numFmtId="44" fontId="15" fillId="0" borderId="9" xfId="0" applyNumberFormat="1" applyFont="1" applyBorder="1"/>
    <xf numFmtId="0" fontId="10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4" fontId="3" fillId="0" borderId="0" xfId="0" applyNumberFormat="1" applyFont="1"/>
    <xf numFmtId="0" fontId="19" fillId="0" borderId="0" xfId="0" applyFont="1"/>
    <xf numFmtId="44" fontId="13" fillId="0" borderId="1" xfId="1" applyFont="1" applyBorder="1"/>
    <xf numFmtId="44" fontId="15" fillId="0" borderId="14" xfId="0" applyNumberFormat="1" applyFont="1" applyBorder="1"/>
    <xf numFmtId="44" fontId="13" fillId="0" borderId="0" xfId="1" applyFont="1" applyBorder="1"/>
    <xf numFmtId="0" fontId="17" fillId="2" borderId="1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44" fontId="23" fillId="0" borderId="1" xfId="1" applyFont="1" applyFill="1" applyBorder="1"/>
    <xf numFmtId="44" fontId="16" fillId="0" borderId="1" xfId="1" applyFont="1" applyBorder="1"/>
    <xf numFmtId="44" fontId="17" fillId="0" borderId="1" xfId="3" applyFont="1" applyBorder="1"/>
    <xf numFmtId="44" fontId="17" fillId="0" borderId="1" xfId="1" applyFont="1" applyBorder="1"/>
    <xf numFmtId="0" fontId="22" fillId="6" borderId="17" xfId="0" applyFont="1" applyFill="1" applyBorder="1"/>
    <xf numFmtId="0" fontId="22" fillId="6" borderId="18" xfId="0" applyFont="1" applyFill="1" applyBorder="1"/>
    <xf numFmtId="0" fontId="22" fillId="6" borderId="19" xfId="0" applyFont="1" applyFill="1" applyBorder="1"/>
    <xf numFmtId="44" fontId="0" fillId="0" borderId="8" xfId="1" applyFont="1" applyBorder="1"/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 wrapText="1"/>
    </xf>
    <xf numFmtId="44" fontId="21" fillId="0" borderId="0" xfId="0" applyNumberFormat="1" applyFont="1"/>
    <xf numFmtId="44" fontId="11" fillId="0" borderId="0" xfId="1" applyFont="1"/>
    <xf numFmtId="164" fontId="14" fillId="7" borderId="1" xfId="0" applyNumberFormat="1" applyFont="1" applyFill="1" applyBorder="1" applyAlignment="1">
      <alignment horizontal="center" vertical="center"/>
    </xf>
    <xf numFmtId="44" fontId="13" fillId="0" borderId="6" xfId="1" applyFont="1" applyBorder="1"/>
    <xf numFmtId="44" fontId="11" fillId="0" borderId="15" xfId="1" applyFont="1" applyFill="1" applyBorder="1" applyAlignment="1">
      <alignment wrapText="1"/>
    </xf>
    <xf numFmtId="44" fontId="11" fillId="0" borderId="16" xfId="1" applyFont="1" applyFill="1" applyBorder="1" applyAlignment="1">
      <alignment wrapText="1"/>
    </xf>
    <xf numFmtId="44" fontId="11" fillId="0" borderId="0" xfId="1" applyFont="1" applyFill="1" applyBorder="1"/>
    <xf numFmtId="8" fontId="21" fillId="0" borderId="0" xfId="0" applyNumberFormat="1" applyFont="1"/>
    <xf numFmtId="0" fontId="21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7" applyFont="1"/>
    <xf numFmtId="14" fontId="17" fillId="0" borderId="1" xfId="0" applyNumberFormat="1" applyFont="1" applyBorder="1" applyAlignment="1">
      <alignment horizontal="center" vertical="center" wrapText="1"/>
    </xf>
    <xf numFmtId="44" fontId="21" fillId="0" borderId="1" xfId="1" applyFont="1" applyBorder="1" applyAlignment="1">
      <alignment horizontal="center" vertical="center"/>
    </xf>
    <xf numFmtId="44" fontId="2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21" fillId="0" borderId="1" xfId="0" applyNumberFormat="1" applyFont="1" applyBorder="1"/>
    <xf numFmtId="0" fontId="11" fillId="0" borderId="1" xfId="0" applyFont="1" applyBorder="1"/>
    <xf numFmtId="44" fontId="10" fillId="0" borderId="1" xfId="1" applyFont="1" applyFill="1" applyBorder="1" applyAlignment="1">
      <alignment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8" borderId="1" xfId="0" applyFont="1" applyFill="1" applyBorder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/>
    </xf>
    <xf numFmtId="44" fontId="10" fillId="8" borderId="15" xfId="1" applyFont="1" applyFill="1" applyBorder="1" applyAlignment="1">
      <alignment wrapText="1"/>
    </xf>
    <xf numFmtId="44" fontId="17" fillId="8" borderId="16" xfId="1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/>
    </xf>
    <xf numFmtId="0" fontId="22" fillId="6" borderId="17" xfId="0" applyFont="1" applyFill="1" applyBorder="1" applyAlignment="1">
      <alignment horizontal="center"/>
    </xf>
    <xf numFmtId="44" fontId="15" fillId="0" borderId="0" xfId="1" applyFont="1"/>
    <xf numFmtId="44" fontId="15" fillId="0" borderId="15" xfId="1" applyFont="1" applyFill="1" applyBorder="1" applyAlignment="1">
      <alignment wrapText="1"/>
    </xf>
    <xf numFmtId="44" fontId="15" fillId="0" borderId="16" xfId="1" applyFont="1" applyFill="1" applyBorder="1" applyAlignment="1">
      <alignment wrapText="1"/>
    </xf>
  </cellXfs>
  <cellStyles count="8">
    <cellStyle name="Hipervínculo" xfId="7" builtinId="8"/>
    <cellStyle name="Moneda" xfId="1" builtinId="4"/>
    <cellStyle name="Moneda 2" xfId="3" xr:uid="{00000000-0005-0000-0000-000002000000}"/>
    <cellStyle name="Moneda 2 2" xfId="6" xr:uid="{00000000-0005-0000-0000-000003000000}"/>
    <cellStyle name="Moneda 3" xfId="2" xr:uid="{00000000-0005-0000-0000-000004000000}"/>
    <cellStyle name="Moneda 3 2" xfId="5" xr:uid="{00000000-0005-0000-0000-000005000000}"/>
    <cellStyle name="Moneda 4" xfId="4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"/>
  <sheetViews>
    <sheetView tabSelected="1" zoomScaleNormal="100" workbookViewId="0">
      <selection activeCell="Q16" sqref="Q16"/>
    </sheetView>
  </sheetViews>
  <sheetFormatPr baseColWidth="10" defaultColWidth="11.42578125" defaultRowHeight="15" x14ac:dyDescent="0.25"/>
  <cols>
    <col min="1" max="1" width="13.7109375" customWidth="1"/>
    <col min="2" max="2" width="22.140625" customWidth="1"/>
    <col min="3" max="3" width="20.42578125" customWidth="1"/>
    <col min="4" max="5" width="21.42578125" customWidth="1"/>
    <col min="6" max="6" width="39.140625" bestFit="1" customWidth="1"/>
    <col min="7" max="7" width="17.42578125" bestFit="1" customWidth="1"/>
    <col min="8" max="8" width="15.42578125" hidden="1" customWidth="1"/>
    <col min="9" max="9" width="25.42578125" hidden="1" customWidth="1"/>
    <col min="10" max="10" width="15.85546875" hidden="1" customWidth="1"/>
    <col min="11" max="11" width="15.42578125" hidden="1" customWidth="1"/>
    <col min="12" max="12" width="17.42578125" hidden="1" customWidth="1"/>
    <col min="13" max="13" width="12.140625" hidden="1" customWidth="1"/>
    <col min="14" max="14" width="16.7109375" hidden="1" customWidth="1"/>
    <col min="15" max="15" width="16.7109375" bestFit="1" customWidth="1"/>
  </cols>
  <sheetData>
    <row r="1" spans="1:9" s="2" customFormat="1" ht="75" customHeight="1" x14ac:dyDescent="0.4">
      <c r="A1" s="130" t="s">
        <v>112</v>
      </c>
      <c r="B1" s="130"/>
      <c r="C1" s="130"/>
      <c r="D1" s="130"/>
      <c r="E1" s="130"/>
      <c r="F1" s="130"/>
      <c r="G1" s="130"/>
    </row>
    <row r="2" spans="1:9" s="2" customFormat="1" ht="12" customHeight="1" x14ac:dyDescent="0.4">
      <c r="A2" s="21"/>
      <c r="B2" s="21"/>
      <c r="C2" s="21"/>
      <c r="D2" s="21"/>
      <c r="E2" s="21"/>
      <c r="F2" s="91"/>
      <c r="G2" s="91"/>
    </row>
    <row r="3" spans="1:9" s="2" customFormat="1" ht="16.5" customHeight="1" x14ac:dyDescent="0.4">
      <c r="A3" s="90" t="s">
        <v>0</v>
      </c>
      <c r="B3" s="131" t="s">
        <v>113</v>
      </c>
      <c r="C3" s="131"/>
      <c r="D3" s="131"/>
      <c r="E3" s="21"/>
      <c r="F3" s="22" t="s">
        <v>1</v>
      </c>
      <c r="G3" s="50">
        <v>6744</v>
      </c>
    </row>
    <row r="4" spans="1:9" s="2" customFormat="1" ht="16.5" customHeight="1" x14ac:dyDescent="0.4">
      <c r="A4" s="90" t="s">
        <v>2</v>
      </c>
      <c r="B4" s="131" t="s">
        <v>114</v>
      </c>
      <c r="C4" s="131"/>
      <c r="D4" s="131"/>
      <c r="E4" s="21"/>
      <c r="F4" s="22" t="s">
        <v>3</v>
      </c>
      <c r="G4" s="50">
        <v>3434</v>
      </c>
    </row>
    <row r="5" spans="1:9" s="2" customFormat="1" ht="16.5" customHeight="1" x14ac:dyDescent="0.4">
      <c r="A5" s="132" t="s">
        <v>4</v>
      </c>
      <c r="B5" s="134" t="str">
        <f>A1</f>
        <v>6744 SERVICIO POR LIMPIEZA Y APLICACIÓN DE SILICÓN DURETAN EN ALUMINIO Y CRISTAL, MURO Y ALUMINIO DE LOS VENTANALES DE LA PARROQUIA (EXTERIOR) IGLESIA SAN JUAN DE LOS LAGOS</v>
      </c>
      <c r="C5" s="135"/>
      <c r="D5" s="136"/>
      <c r="E5" s="21"/>
      <c r="F5" s="22" t="s">
        <v>64</v>
      </c>
      <c r="G5" s="50">
        <v>5</v>
      </c>
    </row>
    <row r="6" spans="1:9" s="2" customFormat="1" ht="30" customHeight="1" x14ac:dyDescent="0.4">
      <c r="A6" s="133"/>
      <c r="B6" s="137"/>
      <c r="C6" s="138"/>
      <c r="D6" s="139"/>
      <c r="E6" s="21"/>
      <c r="F6" s="82" t="s">
        <v>63</v>
      </c>
      <c r="G6" s="50">
        <v>6</v>
      </c>
    </row>
    <row r="7" spans="1:9" s="2" customFormat="1" ht="16.5" customHeight="1" x14ac:dyDescent="0.4">
      <c r="A7" s="90" t="s">
        <v>60</v>
      </c>
      <c r="B7" s="124" t="s">
        <v>115</v>
      </c>
      <c r="C7" s="90" t="s">
        <v>61</v>
      </c>
      <c r="D7" s="114">
        <v>46260</v>
      </c>
      <c r="E7" s="21"/>
      <c r="F7" s="82" t="s">
        <v>62</v>
      </c>
      <c r="G7" s="50"/>
    </row>
    <row r="8" spans="1:9" s="2" customFormat="1" ht="12" customHeight="1" x14ac:dyDescent="0.4">
      <c r="A8" s="21"/>
      <c r="B8" s="21"/>
      <c r="C8" s="21"/>
      <c r="D8" s="21"/>
      <c r="E8" s="21"/>
      <c r="F8" s="21"/>
      <c r="G8" s="21"/>
    </row>
    <row r="9" spans="1:9" s="2" customFormat="1" ht="17.25" customHeight="1" x14ac:dyDescent="0.4">
      <c r="A9" s="129" t="s">
        <v>5</v>
      </c>
      <c r="B9" s="129"/>
      <c r="C9" s="129"/>
      <c r="D9" s="23"/>
      <c r="E9" s="23"/>
      <c r="F9" s="129" t="s">
        <v>6</v>
      </c>
      <c r="G9" s="129"/>
    </row>
    <row r="10" spans="1:9" s="26" customFormat="1" ht="18.75" customHeight="1" x14ac:dyDescent="0.3">
      <c r="A10" s="140" t="s">
        <v>65</v>
      </c>
      <c r="B10" s="140"/>
      <c r="C10" s="120">
        <v>130800</v>
      </c>
      <c r="D10" s="127">
        <v>130800</v>
      </c>
      <c r="E10" s="128" t="s">
        <v>129</v>
      </c>
      <c r="F10" s="25" t="s">
        <v>65</v>
      </c>
      <c r="G10" s="94">
        <f>C10</f>
        <v>130800</v>
      </c>
    </row>
    <row r="11" spans="1:9" s="26" customFormat="1" ht="18.75" customHeight="1" x14ac:dyDescent="0.3">
      <c r="A11" s="141" t="s">
        <v>110</v>
      </c>
      <c r="B11" s="142"/>
      <c r="C11" s="120">
        <v>1000</v>
      </c>
      <c r="D11" s="107"/>
      <c r="E11" s="108"/>
      <c r="F11" s="25" t="s">
        <v>110</v>
      </c>
      <c r="G11" s="94">
        <v>1000</v>
      </c>
      <c r="H11" s="159">
        <v>4100</v>
      </c>
      <c r="I11" s="65"/>
    </row>
    <row r="12" spans="1:9" s="26" customFormat="1" ht="18.75" customHeight="1" x14ac:dyDescent="0.3">
      <c r="A12" s="140" t="s">
        <v>7</v>
      </c>
      <c r="B12" s="140"/>
      <c r="C12" s="69">
        <f>C35</f>
        <v>31939</v>
      </c>
      <c r="D12" s="160"/>
      <c r="E12" s="161"/>
      <c r="F12" s="25" t="s">
        <v>8</v>
      </c>
      <c r="G12" s="95">
        <f>+D35</f>
        <v>31939</v>
      </c>
      <c r="H12" s="72">
        <f>H11*5*6</f>
        <v>123000</v>
      </c>
      <c r="I12" s="65" t="s">
        <v>128</v>
      </c>
    </row>
    <row r="13" spans="1:9" s="26" customFormat="1" ht="18.75" customHeight="1" x14ac:dyDescent="0.3">
      <c r="A13" s="140" t="s">
        <v>92</v>
      </c>
      <c r="B13" s="140"/>
      <c r="C13" s="69">
        <f>C12*0.1</f>
        <v>3193.9</v>
      </c>
      <c r="D13" s="107"/>
      <c r="E13" s="108"/>
      <c r="F13" s="25" t="s">
        <v>92</v>
      </c>
      <c r="G13" s="95">
        <f>G12*0.1</f>
        <v>3193.9</v>
      </c>
      <c r="H13" s="159">
        <v>109846.2445</v>
      </c>
      <c r="I13" s="65" t="s">
        <v>127</v>
      </c>
    </row>
    <row r="14" spans="1:9" s="26" customFormat="1" ht="18.75" customHeight="1" x14ac:dyDescent="0.3">
      <c r="A14" s="140" t="s">
        <v>94</v>
      </c>
      <c r="B14" s="140"/>
      <c r="C14" s="69">
        <f>SUM(C12:C13)</f>
        <v>35132.9</v>
      </c>
      <c r="D14" s="109"/>
      <c r="E14" s="109"/>
      <c r="F14" s="25" t="s">
        <v>96</v>
      </c>
      <c r="G14" s="95">
        <f>SUM(G12:G13)</f>
        <v>35132.9</v>
      </c>
      <c r="H14" s="65"/>
      <c r="I14" s="65"/>
    </row>
    <row r="15" spans="1:9" s="26" customFormat="1" ht="18.75" customHeight="1" x14ac:dyDescent="0.3">
      <c r="A15" s="141" t="s">
        <v>93</v>
      </c>
      <c r="B15" s="142"/>
      <c r="C15" s="69">
        <f>C14*0.05</f>
        <v>1756.6450000000002</v>
      </c>
      <c r="D15" s="109"/>
      <c r="E15" s="109"/>
      <c r="F15" s="25" t="s">
        <v>93</v>
      </c>
      <c r="G15" s="95">
        <f>G14*0.05</f>
        <v>1756.6450000000002</v>
      </c>
    </row>
    <row r="16" spans="1:9" s="26" customFormat="1" ht="18.75" customHeight="1" x14ac:dyDescent="0.3">
      <c r="A16" s="141" t="s">
        <v>94</v>
      </c>
      <c r="B16" s="142"/>
      <c r="C16" s="69">
        <f>SUM(C14:C15)</f>
        <v>36889.544999999998</v>
      </c>
      <c r="D16" s="109"/>
      <c r="E16" s="109"/>
      <c r="F16" s="25" t="s">
        <v>96</v>
      </c>
      <c r="G16" s="95">
        <f>SUM(G14:G15)</f>
        <v>36889.544999999998</v>
      </c>
    </row>
    <row r="17" spans="1:15" s="26" customFormat="1" ht="18.75" customHeight="1" x14ac:dyDescent="0.3">
      <c r="A17" s="100" t="s">
        <v>97</v>
      </c>
      <c r="B17" s="101"/>
      <c r="C17" s="69">
        <f>Insumos!C1</f>
        <v>14942</v>
      </c>
      <c r="D17" s="24"/>
      <c r="E17" s="24"/>
      <c r="F17" s="25" t="s">
        <v>97</v>
      </c>
      <c r="G17" s="95">
        <f>Insumos!C2</f>
        <v>14942</v>
      </c>
    </row>
    <row r="18" spans="1:15" s="26" customFormat="1" ht="18.75" customHeight="1" x14ac:dyDescent="0.3">
      <c r="A18" s="100" t="s">
        <v>94</v>
      </c>
      <c r="B18" s="101"/>
      <c r="C18" s="69">
        <f>SUM(C16:C17)</f>
        <v>51831.544999999998</v>
      </c>
      <c r="D18" s="24"/>
      <c r="E18" s="24"/>
      <c r="F18" s="25" t="s">
        <v>94</v>
      </c>
      <c r="G18" s="95">
        <f>SUM(G16:G17)</f>
        <v>51831.544999999998</v>
      </c>
      <c r="I18" s="104"/>
      <c r="K18" s="43">
        <v>126000</v>
      </c>
      <c r="L18" s="4"/>
      <c r="M18" s="28"/>
      <c r="N18" s="28"/>
      <c r="O18" s="28"/>
    </row>
    <row r="19" spans="1:15" s="26" customFormat="1" ht="18.75" customHeight="1" x14ac:dyDescent="0.3">
      <c r="A19" s="100" t="s">
        <v>98</v>
      </c>
      <c r="B19" s="101"/>
      <c r="C19" s="69">
        <f>C18*0.05</f>
        <v>2591.5772500000003</v>
      </c>
      <c r="D19" s="24"/>
      <c r="E19" s="24"/>
      <c r="F19" s="25" t="s">
        <v>98</v>
      </c>
      <c r="G19" s="69">
        <f>G18*0.05</f>
        <v>2591.5772500000003</v>
      </c>
      <c r="I19" s="104"/>
      <c r="K19" s="43">
        <v>4800</v>
      </c>
      <c r="L19" s="4" t="s">
        <v>130</v>
      </c>
      <c r="M19" s="28"/>
      <c r="N19" s="28"/>
      <c r="O19" s="28"/>
    </row>
    <row r="20" spans="1:15" s="26" customFormat="1" ht="18.75" customHeight="1" x14ac:dyDescent="0.3">
      <c r="A20" s="100" t="s">
        <v>95</v>
      </c>
      <c r="B20" s="101"/>
      <c r="C20" s="69">
        <f>SUM(C18:C19)</f>
        <v>54423.12225</v>
      </c>
      <c r="D20" s="24"/>
      <c r="E20" s="24"/>
      <c r="F20" s="25" t="s">
        <v>95</v>
      </c>
      <c r="G20" s="95">
        <f>SUM(G18:G19)</f>
        <v>54423.12225</v>
      </c>
      <c r="K20" s="43">
        <f>K18+K19</f>
        <v>130800</v>
      </c>
      <c r="L20" s="4" t="s">
        <v>131</v>
      </c>
    </row>
    <row r="21" spans="1:15" s="26" customFormat="1" ht="18.75" customHeight="1" x14ac:dyDescent="0.3">
      <c r="A21" s="140" t="s">
        <v>9</v>
      </c>
      <c r="B21" s="140"/>
      <c r="C21" s="69">
        <f>C10-C20</f>
        <v>76376.87775</v>
      </c>
      <c r="D21" s="24"/>
      <c r="E21" s="24"/>
      <c r="F21" s="25" t="s">
        <v>9</v>
      </c>
      <c r="G21" s="92">
        <f>G10-G20</f>
        <v>76376.87775</v>
      </c>
      <c r="I21" s="104"/>
      <c r="K21" s="43"/>
      <c r="L21" s="4"/>
      <c r="M21" s="28"/>
      <c r="N21" s="28"/>
      <c r="O21" s="28"/>
    </row>
    <row r="22" spans="1:15" s="26" customFormat="1" ht="18.75" customHeight="1" x14ac:dyDescent="0.3">
      <c r="A22" s="140" t="s">
        <v>66</v>
      </c>
      <c r="B22" s="140"/>
      <c r="C22" s="69">
        <f>C21*0.04</f>
        <v>3055.0751100000002</v>
      </c>
      <c r="D22" s="24"/>
      <c r="E22" s="24"/>
      <c r="F22" s="25" t="s">
        <v>66</v>
      </c>
      <c r="G22" s="95">
        <f>G21*0.04</f>
        <v>3055.0751100000002</v>
      </c>
      <c r="I22" s="28"/>
    </row>
    <row r="23" spans="1:15" s="26" customFormat="1" ht="18.75" customHeight="1" x14ac:dyDescent="0.3">
      <c r="A23" s="140" t="s">
        <v>9</v>
      </c>
      <c r="B23" s="140"/>
      <c r="C23" s="93">
        <f>C21-C22</f>
        <v>73321.802639999994</v>
      </c>
      <c r="D23" s="24"/>
      <c r="F23" s="81" t="s">
        <v>9</v>
      </c>
      <c r="G23" s="95">
        <f>G21-G22</f>
        <v>73321.802639999994</v>
      </c>
      <c r="I23" s="28"/>
    </row>
    <row r="24" spans="1:15" s="1" customFormat="1" ht="18.75" x14ac:dyDescent="0.3">
      <c r="I24" s="85"/>
    </row>
    <row r="25" spans="1:15" s="1" customFormat="1" ht="18.75" x14ac:dyDescent="0.3">
      <c r="A25" s="145" t="s">
        <v>10</v>
      </c>
      <c r="B25" s="146"/>
      <c r="C25" s="3" t="s">
        <v>11</v>
      </c>
      <c r="D25" s="3" t="s">
        <v>12</v>
      </c>
      <c r="E25" s="3" t="s">
        <v>13</v>
      </c>
      <c r="F25" s="3" t="s">
        <v>14</v>
      </c>
      <c r="H25" s="54"/>
      <c r="J25" s="54"/>
      <c r="L25" s="54"/>
    </row>
    <row r="26" spans="1:15" s="26" customFormat="1" ht="17.25" x14ac:dyDescent="0.3">
      <c r="A26" s="141" t="s">
        <v>15</v>
      </c>
      <c r="B26" s="142"/>
      <c r="C26" s="27">
        <f>Nomina!C1</f>
        <v>21000</v>
      </c>
      <c r="D26" s="27">
        <f>Nomina!C2</f>
        <v>21000</v>
      </c>
      <c r="E26" s="27">
        <f>C26-D26</f>
        <v>0</v>
      </c>
      <c r="F26" s="29"/>
    </row>
    <row r="27" spans="1:15" s="26" customFormat="1" ht="17.25" x14ac:dyDescent="0.3">
      <c r="A27" s="141" t="s">
        <v>17</v>
      </c>
      <c r="B27" s="142"/>
      <c r="C27" s="27">
        <f>Imss!C1</f>
        <v>1539</v>
      </c>
      <c r="D27" s="27">
        <f>Imss!C2</f>
        <v>1539</v>
      </c>
      <c r="E27" s="27">
        <f t="shared" ref="E27:E34" si="0">C27-D27</f>
        <v>0</v>
      </c>
      <c r="F27" s="29"/>
    </row>
    <row r="28" spans="1:15" s="26" customFormat="1" ht="17.25" x14ac:dyDescent="0.3">
      <c r="A28" s="141" t="s">
        <v>56</v>
      </c>
      <c r="B28" s="142"/>
      <c r="C28" s="27">
        <f>Bonos!C1</f>
        <v>4800</v>
      </c>
      <c r="D28" s="27">
        <f>Bonos!C2</f>
        <v>4800</v>
      </c>
      <c r="E28" s="27">
        <f t="shared" si="0"/>
        <v>0</v>
      </c>
      <c r="F28" s="29"/>
    </row>
    <row r="29" spans="1:15" s="26" customFormat="1" ht="17.25" x14ac:dyDescent="0.3">
      <c r="A29" s="141" t="s">
        <v>16</v>
      </c>
      <c r="B29" s="142"/>
      <c r="C29" s="27">
        <f>Gasolina!C1</f>
        <v>1500</v>
      </c>
      <c r="D29" s="27">
        <f>Gasolina!C2</f>
        <v>1500</v>
      </c>
      <c r="E29" s="27">
        <f t="shared" si="0"/>
        <v>0</v>
      </c>
      <c r="F29" s="29"/>
    </row>
    <row r="30" spans="1:15" s="26" customFormat="1" ht="17.25" x14ac:dyDescent="0.3">
      <c r="A30" s="141" t="s">
        <v>68</v>
      </c>
      <c r="B30" s="142"/>
      <c r="C30" s="27">
        <f>'Desgaste de Equipo'!B1</f>
        <v>2000</v>
      </c>
      <c r="D30" s="27">
        <f>'Desgaste de Equipo'!B2</f>
        <v>2000</v>
      </c>
      <c r="E30" s="27">
        <f t="shared" si="0"/>
        <v>0</v>
      </c>
      <c r="F30" s="29"/>
    </row>
    <row r="31" spans="1:15" s="26" customFormat="1" ht="17.25" x14ac:dyDescent="0.3">
      <c r="A31" s="141" t="s">
        <v>19</v>
      </c>
      <c r="B31" s="142"/>
      <c r="C31" s="27">
        <f>Administrativos!B1</f>
        <v>400</v>
      </c>
      <c r="D31" s="27">
        <f>Administrativos!B2</f>
        <v>400</v>
      </c>
      <c r="E31" s="27">
        <f t="shared" si="0"/>
        <v>0</v>
      </c>
      <c r="F31" s="29"/>
    </row>
    <row r="32" spans="1:15" s="26" customFormat="1" ht="17.25" x14ac:dyDescent="0.3">
      <c r="A32" s="141" t="s">
        <v>20</v>
      </c>
      <c r="B32" s="142"/>
      <c r="C32" s="27"/>
      <c r="D32" s="27"/>
      <c r="E32" s="27">
        <f t="shared" si="0"/>
        <v>0</v>
      </c>
      <c r="F32" s="29"/>
    </row>
    <row r="33" spans="1:6" s="26" customFormat="1" ht="17.25" x14ac:dyDescent="0.3">
      <c r="A33" s="141" t="s">
        <v>67</v>
      </c>
      <c r="B33" s="142"/>
      <c r="C33" s="27">
        <f>Epp!B1</f>
        <v>350</v>
      </c>
      <c r="D33" s="27">
        <f>Epp!B2</f>
        <v>350</v>
      </c>
      <c r="E33" s="27">
        <f t="shared" si="0"/>
        <v>0</v>
      </c>
      <c r="F33" s="29"/>
    </row>
    <row r="34" spans="1:6" s="26" customFormat="1" ht="17.25" x14ac:dyDescent="0.3">
      <c r="A34" s="141" t="s">
        <v>18</v>
      </c>
      <c r="B34" s="142"/>
      <c r="C34" s="27">
        <f>'Compra de Equipo'!B1</f>
        <v>350</v>
      </c>
      <c r="D34" s="27">
        <f>'Compra de Equipo'!B2</f>
        <v>350</v>
      </c>
      <c r="E34" s="27">
        <f t="shared" si="0"/>
        <v>0</v>
      </c>
      <c r="F34" s="29"/>
    </row>
    <row r="35" spans="1:6" s="26" customFormat="1" ht="17.25" x14ac:dyDescent="0.3">
      <c r="A35" s="143" t="s">
        <v>21</v>
      </c>
      <c r="B35" s="144"/>
      <c r="C35" s="74">
        <f>SUM(C26:C34)</f>
        <v>31939</v>
      </c>
      <c r="D35" s="27">
        <f>SUM(D26:D34)</f>
        <v>31939</v>
      </c>
      <c r="E35" s="27">
        <f>SUM(E26:E32)</f>
        <v>0</v>
      </c>
      <c r="F35" s="119"/>
    </row>
    <row r="36" spans="1:6" x14ac:dyDescent="0.25">
      <c r="C36" s="44"/>
    </row>
    <row r="37" spans="1:6" x14ac:dyDescent="0.25">
      <c r="C37" s="46" t="s">
        <v>22</v>
      </c>
      <c r="D37" s="45">
        <f>+D35-C35</f>
        <v>0</v>
      </c>
      <c r="E37" s="44"/>
    </row>
    <row r="38" spans="1:6" x14ac:dyDescent="0.25">
      <c r="C38" s="44"/>
    </row>
    <row r="39" spans="1:6" x14ac:dyDescent="0.25">
      <c r="A39" s="46" t="s">
        <v>23</v>
      </c>
      <c r="B39" s="47"/>
      <c r="C39" s="45"/>
      <c r="D39" s="47"/>
      <c r="E39" s="47"/>
      <c r="F39" s="47"/>
    </row>
    <row r="40" spans="1:6" x14ac:dyDescent="0.25">
      <c r="B40" s="48"/>
      <c r="C40" s="49"/>
      <c r="D40" s="48"/>
      <c r="E40" s="48"/>
      <c r="F40" s="48"/>
    </row>
    <row r="41" spans="1:6" x14ac:dyDescent="0.25">
      <c r="B41" s="48"/>
      <c r="C41" s="49"/>
      <c r="D41" s="48"/>
      <c r="E41" s="48"/>
      <c r="F41" s="48"/>
    </row>
    <row r="42" spans="1:6" x14ac:dyDescent="0.25">
      <c r="B42" s="48"/>
      <c r="C42" s="49"/>
      <c r="D42" s="48"/>
      <c r="E42" s="48"/>
      <c r="F42" s="48"/>
    </row>
    <row r="43" spans="1:6" x14ac:dyDescent="0.25">
      <c r="B43" s="48"/>
      <c r="C43" s="48"/>
      <c r="D43" s="48"/>
      <c r="E43" s="48"/>
      <c r="F43" s="48"/>
    </row>
  </sheetData>
  <mergeCells count="28">
    <mergeCell ref="A23:B23"/>
    <mergeCell ref="A31:B31"/>
    <mergeCell ref="A32:B32"/>
    <mergeCell ref="A35:B35"/>
    <mergeCell ref="A25:B25"/>
    <mergeCell ref="A26:B26"/>
    <mergeCell ref="A27:B27"/>
    <mergeCell ref="A29:B29"/>
    <mergeCell ref="A30:B30"/>
    <mergeCell ref="A28:B28"/>
    <mergeCell ref="A33:B33"/>
    <mergeCell ref="A34:B34"/>
    <mergeCell ref="A22:B22"/>
    <mergeCell ref="A21:B21"/>
    <mergeCell ref="A10:B10"/>
    <mergeCell ref="A12:B12"/>
    <mergeCell ref="A13:B13"/>
    <mergeCell ref="A14:B14"/>
    <mergeCell ref="A16:B16"/>
    <mergeCell ref="A15:B15"/>
    <mergeCell ref="A11:B11"/>
    <mergeCell ref="A9:C9"/>
    <mergeCell ref="F9:G9"/>
    <mergeCell ref="A1:G1"/>
    <mergeCell ref="B3:D3"/>
    <mergeCell ref="B4:D4"/>
    <mergeCell ref="A5:A6"/>
    <mergeCell ref="B5:D6"/>
  </mergeCells>
  <printOptions horizontalCentered="1"/>
  <pageMargins left="0" right="0" top="0.74803149606299213" bottom="0.74803149606299213" header="0.31496062992125984" footer="0.31496062992125984"/>
  <pageSetup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zoomScaleNormal="100" workbookViewId="0">
      <selection activeCell="B6" sqref="B6:B11"/>
    </sheetView>
  </sheetViews>
  <sheetFormatPr baseColWidth="10" defaultColWidth="11.42578125" defaultRowHeight="12.75" x14ac:dyDescent="0.2"/>
  <cols>
    <col min="1" max="1" width="4.7109375" style="4" bestFit="1" customWidth="1"/>
    <col min="2" max="2" width="10.7109375" style="4" bestFit="1" customWidth="1"/>
    <col min="3" max="3" width="11" style="4" bestFit="1" customWidth="1"/>
    <col min="4" max="11" width="7.42578125" style="4" bestFit="1" customWidth="1"/>
    <col min="12" max="13" width="5.5703125" style="4" bestFit="1" customWidth="1"/>
    <col min="14" max="35" width="6.42578125" style="4" bestFit="1" customWidth="1"/>
    <col min="36" max="36" width="11" style="4" bestFit="1" customWidth="1"/>
    <col min="37" max="64" width="6.7109375" style="4" bestFit="1" customWidth="1"/>
    <col min="65" max="65" width="12" style="4" bestFit="1" customWidth="1"/>
    <col min="66" max="16384" width="11.42578125" style="4"/>
  </cols>
  <sheetData>
    <row r="1" spans="1:36" ht="15" customHeight="1" x14ac:dyDescent="0.2">
      <c r="A1" s="147" t="s">
        <v>24</v>
      </c>
      <c r="B1" s="147"/>
      <c r="C1" s="34">
        <v>21000</v>
      </c>
    </row>
    <row r="2" spans="1:36" ht="15" customHeight="1" x14ac:dyDescent="0.2">
      <c r="A2" s="147" t="s">
        <v>25</v>
      </c>
      <c r="B2" s="147"/>
      <c r="C2" s="6">
        <f>AJ14</f>
        <v>21000</v>
      </c>
    </row>
    <row r="3" spans="1:36" ht="15" customHeight="1" x14ac:dyDescent="0.2">
      <c r="A3" s="147" t="s">
        <v>26</v>
      </c>
      <c r="B3" s="147"/>
      <c r="C3" s="118">
        <f>C1-C2</f>
        <v>0</v>
      </c>
      <c r="E3" s="148" t="s">
        <v>111</v>
      </c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</row>
    <row r="4" spans="1:36" x14ac:dyDescent="0.2">
      <c r="E4" s="122" t="s">
        <v>105</v>
      </c>
      <c r="F4" s="122" t="s">
        <v>99</v>
      </c>
      <c r="G4" s="122" t="s">
        <v>100</v>
      </c>
      <c r="H4" s="122" t="s">
        <v>101</v>
      </c>
      <c r="I4" s="122" t="s">
        <v>102</v>
      </c>
      <c r="J4" s="122" t="s">
        <v>103</v>
      </c>
      <c r="K4" s="122" t="s">
        <v>104</v>
      </c>
      <c r="L4" s="122" t="s">
        <v>105</v>
      </c>
      <c r="M4" s="122" t="s">
        <v>99</v>
      </c>
      <c r="N4" s="122" t="s">
        <v>100</v>
      </c>
      <c r="O4" s="122" t="s">
        <v>101</v>
      </c>
      <c r="P4" s="122" t="s">
        <v>102</v>
      </c>
      <c r="Q4" s="122" t="s">
        <v>103</v>
      </c>
      <c r="R4" s="122" t="s">
        <v>104</v>
      </c>
      <c r="S4" s="122" t="s">
        <v>105</v>
      </c>
      <c r="T4" s="122" t="s">
        <v>99</v>
      </c>
      <c r="U4" s="122" t="s">
        <v>100</v>
      </c>
      <c r="V4" s="122" t="s">
        <v>101</v>
      </c>
      <c r="W4" s="122" t="s">
        <v>102</v>
      </c>
      <c r="X4" s="122" t="s">
        <v>103</v>
      </c>
      <c r="Y4" s="122" t="s">
        <v>104</v>
      </c>
      <c r="Z4" s="122" t="s">
        <v>105</v>
      </c>
      <c r="AA4" s="122" t="s">
        <v>99</v>
      </c>
      <c r="AB4" s="122" t="s">
        <v>100</v>
      </c>
      <c r="AC4" s="122" t="s">
        <v>101</v>
      </c>
      <c r="AD4" s="122" t="s">
        <v>102</v>
      </c>
      <c r="AE4" s="122" t="s">
        <v>103</v>
      </c>
      <c r="AF4" s="122" t="s">
        <v>104</v>
      </c>
      <c r="AG4" s="122" t="s">
        <v>105</v>
      </c>
      <c r="AH4" s="122" t="s">
        <v>99</v>
      </c>
      <c r="AI4" s="122" t="s">
        <v>100</v>
      </c>
    </row>
    <row r="5" spans="1:36" ht="24" x14ac:dyDescent="0.2">
      <c r="A5" s="8" t="s">
        <v>27</v>
      </c>
      <c r="B5" s="35" t="s">
        <v>28</v>
      </c>
      <c r="C5" s="36" t="s">
        <v>29</v>
      </c>
      <c r="D5" s="102" t="s">
        <v>30</v>
      </c>
      <c r="E5" s="105">
        <v>46023</v>
      </c>
      <c r="F5" s="105">
        <v>46024</v>
      </c>
      <c r="G5" s="105">
        <v>46025</v>
      </c>
      <c r="H5" s="105">
        <v>46026</v>
      </c>
      <c r="I5" s="105">
        <v>46027</v>
      </c>
      <c r="J5" s="105">
        <v>46028</v>
      </c>
      <c r="K5" s="105">
        <v>46029</v>
      </c>
      <c r="L5" s="105">
        <v>46030</v>
      </c>
      <c r="M5" s="105">
        <v>46031</v>
      </c>
      <c r="N5" s="105">
        <v>46032</v>
      </c>
      <c r="O5" s="105">
        <v>46033</v>
      </c>
      <c r="P5" s="105">
        <v>46034</v>
      </c>
      <c r="Q5" s="105">
        <v>46035</v>
      </c>
      <c r="R5" s="105">
        <v>46036</v>
      </c>
      <c r="S5" s="105">
        <v>46037</v>
      </c>
      <c r="T5" s="105">
        <v>46038</v>
      </c>
      <c r="U5" s="105">
        <v>46039</v>
      </c>
      <c r="V5" s="105">
        <v>46040</v>
      </c>
      <c r="W5" s="105">
        <v>46041</v>
      </c>
      <c r="X5" s="105">
        <v>46042</v>
      </c>
      <c r="Y5" s="105">
        <v>46043</v>
      </c>
      <c r="Z5" s="105">
        <v>46044</v>
      </c>
      <c r="AA5" s="105">
        <v>46045</v>
      </c>
      <c r="AB5" s="105">
        <v>46046</v>
      </c>
      <c r="AC5" s="105">
        <v>46047</v>
      </c>
      <c r="AD5" s="105">
        <v>46048</v>
      </c>
      <c r="AE5" s="105">
        <v>46049</v>
      </c>
      <c r="AF5" s="105">
        <v>46050</v>
      </c>
      <c r="AG5" s="105">
        <v>46051</v>
      </c>
      <c r="AH5" s="105">
        <v>46052</v>
      </c>
      <c r="AI5" s="105">
        <v>46053</v>
      </c>
    </row>
    <row r="6" spans="1:36" x14ac:dyDescent="0.2">
      <c r="A6" s="83">
        <v>1</v>
      </c>
      <c r="B6" s="76" t="s">
        <v>52</v>
      </c>
      <c r="C6" s="77">
        <v>4900</v>
      </c>
      <c r="D6" s="79">
        <f>C6/7</f>
        <v>700</v>
      </c>
      <c r="E6" s="79">
        <v>700</v>
      </c>
      <c r="F6" s="79">
        <v>700</v>
      </c>
      <c r="G6" s="79">
        <v>700</v>
      </c>
      <c r="H6" s="79">
        <v>700</v>
      </c>
      <c r="I6" s="79">
        <v>700</v>
      </c>
      <c r="J6" s="79"/>
      <c r="K6" s="79"/>
      <c r="L6" s="79"/>
      <c r="M6" s="79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106">
        <f t="shared" ref="AJ6:AJ9" si="0">SUM(E6:AI6)</f>
        <v>3500</v>
      </c>
    </row>
    <row r="7" spans="1:36" x14ac:dyDescent="0.2">
      <c r="A7" s="83">
        <v>2</v>
      </c>
      <c r="B7" s="76" t="s">
        <v>53</v>
      </c>
      <c r="C7" s="77">
        <v>4900</v>
      </c>
      <c r="D7" s="79">
        <f>C7/7</f>
        <v>700</v>
      </c>
      <c r="E7" s="79">
        <v>700</v>
      </c>
      <c r="F7" s="79">
        <v>700</v>
      </c>
      <c r="G7" s="79">
        <v>700</v>
      </c>
      <c r="H7" s="79">
        <v>700</v>
      </c>
      <c r="I7" s="79">
        <v>700</v>
      </c>
      <c r="J7" s="79"/>
      <c r="K7" s="79"/>
      <c r="L7" s="79"/>
      <c r="M7" s="79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106">
        <f t="shared" si="0"/>
        <v>3500</v>
      </c>
    </row>
    <row r="8" spans="1:36" x14ac:dyDescent="0.2">
      <c r="A8" s="83">
        <v>3</v>
      </c>
      <c r="B8" s="76" t="s">
        <v>54</v>
      </c>
      <c r="C8" s="77">
        <v>4900</v>
      </c>
      <c r="D8" s="79">
        <f t="shared" ref="D8:D12" si="1">C8/7</f>
        <v>700</v>
      </c>
      <c r="E8" s="79">
        <v>700</v>
      </c>
      <c r="F8" s="79">
        <v>700</v>
      </c>
      <c r="G8" s="79">
        <v>700</v>
      </c>
      <c r="H8" s="79">
        <v>700</v>
      </c>
      <c r="I8" s="79">
        <v>700</v>
      </c>
      <c r="J8" s="79"/>
      <c r="K8" s="79"/>
      <c r="L8" s="79"/>
      <c r="M8" s="79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106">
        <f t="shared" si="0"/>
        <v>3500</v>
      </c>
    </row>
    <row r="9" spans="1:36" x14ac:dyDescent="0.2">
      <c r="A9" s="83">
        <v>4</v>
      </c>
      <c r="B9" s="76" t="s">
        <v>55</v>
      </c>
      <c r="C9" s="77">
        <v>4900</v>
      </c>
      <c r="D9" s="79">
        <f t="shared" si="1"/>
        <v>700</v>
      </c>
      <c r="E9" s="79">
        <v>700</v>
      </c>
      <c r="F9" s="79">
        <v>700</v>
      </c>
      <c r="G9" s="79">
        <v>700</v>
      </c>
      <c r="H9" s="79">
        <v>700</v>
      </c>
      <c r="I9" s="79">
        <v>700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106">
        <f t="shared" si="0"/>
        <v>3500</v>
      </c>
    </row>
    <row r="10" spans="1:36" x14ac:dyDescent="0.2">
      <c r="A10" s="83">
        <v>5</v>
      </c>
      <c r="B10" s="76" t="s">
        <v>106</v>
      </c>
      <c r="C10" s="77">
        <v>4900</v>
      </c>
      <c r="D10" s="79">
        <f t="shared" si="1"/>
        <v>700</v>
      </c>
      <c r="E10" s="79">
        <v>700</v>
      </c>
      <c r="F10" s="79">
        <v>700</v>
      </c>
      <c r="G10" s="79">
        <v>700</v>
      </c>
      <c r="H10" s="79">
        <v>700</v>
      </c>
      <c r="I10" s="79">
        <v>700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106">
        <f>SUM(E10:AI10)</f>
        <v>3500</v>
      </c>
    </row>
    <row r="11" spans="1:36" x14ac:dyDescent="0.2">
      <c r="A11" s="123">
        <v>6</v>
      </c>
      <c r="B11" s="76" t="s">
        <v>107</v>
      </c>
      <c r="C11" s="77">
        <v>4900</v>
      </c>
      <c r="D11" s="79">
        <f t="shared" si="1"/>
        <v>700</v>
      </c>
      <c r="E11" s="79">
        <v>700</v>
      </c>
      <c r="F11" s="79">
        <v>700</v>
      </c>
      <c r="G11" s="79">
        <v>700</v>
      </c>
      <c r="H11" s="79">
        <v>700</v>
      </c>
      <c r="I11" s="79">
        <v>700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106">
        <f>SUM(E11:AI11)</f>
        <v>3500</v>
      </c>
    </row>
    <row r="12" spans="1:36" x14ac:dyDescent="0.2">
      <c r="A12" s="123">
        <v>7</v>
      </c>
      <c r="B12" s="76" t="s">
        <v>108</v>
      </c>
      <c r="C12" s="77">
        <v>4900</v>
      </c>
      <c r="D12" s="79">
        <f t="shared" si="1"/>
        <v>700</v>
      </c>
      <c r="E12" s="79"/>
      <c r="F12" s="79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106">
        <f>SUM(E12:AI12)</f>
        <v>0</v>
      </c>
    </row>
    <row r="13" spans="1:36" x14ac:dyDescent="0.2">
      <c r="A13" s="123">
        <v>8</v>
      </c>
      <c r="B13" s="76" t="s">
        <v>109</v>
      </c>
      <c r="C13" s="77">
        <v>4900</v>
      </c>
      <c r="D13" s="79">
        <f t="shared" ref="D13" si="2">C13/7</f>
        <v>700</v>
      </c>
      <c r="E13" s="79"/>
      <c r="F13" s="79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106">
        <f>SUM(E13:AI13)</f>
        <v>0</v>
      </c>
    </row>
    <row r="14" spans="1:36" x14ac:dyDescent="0.2">
      <c r="K14" s="89"/>
      <c r="S14" s="43"/>
      <c r="AJ14" s="6">
        <f>SUM(AJ6:AJ13)</f>
        <v>21000</v>
      </c>
    </row>
    <row r="15" spans="1:36" x14ac:dyDescent="0.2">
      <c r="K15" s="89"/>
    </row>
    <row r="16" spans="1:36" x14ac:dyDescent="0.2">
      <c r="K16" s="89"/>
    </row>
    <row r="17" spans="4:11" x14ac:dyDescent="0.2">
      <c r="K17" s="89"/>
    </row>
    <row r="18" spans="4:11" x14ac:dyDescent="0.2">
      <c r="K18" s="89"/>
    </row>
    <row r="19" spans="4:11" x14ac:dyDescent="0.2">
      <c r="I19" s="63"/>
    </row>
    <row r="20" spans="4:11" x14ac:dyDescent="0.2">
      <c r="I20" s="63"/>
    </row>
    <row r="21" spans="4:11" x14ac:dyDescent="0.2">
      <c r="I21" s="63"/>
    </row>
    <row r="22" spans="4:11" x14ac:dyDescent="0.2">
      <c r="I22" s="63"/>
    </row>
    <row r="23" spans="4:11" x14ac:dyDescent="0.2">
      <c r="D23" s="4">
        <f>34-9</f>
        <v>25</v>
      </c>
    </row>
  </sheetData>
  <mergeCells count="4">
    <mergeCell ref="A1:B1"/>
    <mergeCell ref="A2:B2"/>
    <mergeCell ref="A3:B3"/>
    <mergeCell ref="E3:AI3"/>
  </mergeCells>
  <phoneticPr fontId="18" type="noConversion"/>
  <printOptions horizontalCentered="1"/>
  <pageMargins left="0" right="0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P13"/>
  <sheetViews>
    <sheetView topLeftCell="L1" workbookViewId="0">
      <selection activeCell="AB2" sqref="AB2"/>
    </sheetView>
  </sheetViews>
  <sheetFormatPr baseColWidth="10" defaultColWidth="11.42578125" defaultRowHeight="15" x14ac:dyDescent="0.25"/>
  <cols>
    <col min="1" max="1" width="13.85546875" style="4" bestFit="1" customWidth="1"/>
    <col min="2" max="2" width="10.5703125" style="4" bestFit="1" customWidth="1"/>
    <col min="3" max="4" width="6.7109375" style="4" bestFit="1" customWidth="1"/>
    <col min="5" max="26" width="7.7109375" style="4" bestFit="1" customWidth="1"/>
    <col min="27" max="35" width="6.7109375" style="4" bestFit="1" customWidth="1"/>
    <col min="36" max="41" width="7.7109375" style="4" bestFit="1" customWidth="1"/>
    <col min="42" max="42" width="8.5703125" style="4" bestFit="1" customWidth="1"/>
  </cols>
  <sheetData>
    <row r="1" spans="1:42" s="2" customFormat="1" ht="26.25" x14ac:dyDescent="0.4">
      <c r="A1" s="149" t="s">
        <v>31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3" spans="1:42" x14ac:dyDescent="0.25">
      <c r="A3" s="5" t="s">
        <v>24</v>
      </c>
      <c r="B3" s="18">
        <v>20000</v>
      </c>
    </row>
    <row r="4" spans="1:42" x14ac:dyDescent="0.25">
      <c r="A4" s="5" t="s">
        <v>25</v>
      </c>
      <c r="B4" s="6" t="e">
        <f>#REF!</f>
        <v>#REF!</v>
      </c>
    </row>
    <row r="5" spans="1:42" x14ac:dyDescent="0.25">
      <c r="A5" s="5" t="s">
        <v>26</v>
      </c>
      <c r="B5" s="7" t="e">
        <f>B3-B4</f>
        <v>#REF!</v>
      </c>
    </row>
    <row r="7" spans="1:42" s="1" customFormat="1" ht="18.75" x14ac:dyDescent="0.3">
      <c r="A7" s="4"/>
      <c r="B7" s="4"/>
      <c r="C7" s="150" t="s">
        <v>32</v>
      </c>
      <c r="D7" s="151"/>
      <c r="E7" s="151"/>
      <c r="F7" s="151"/>
      <c r="G7" s="151"/>
      <c r="H7" s="151"/>
      <c r="I7" s="151"/>
      <c r="J7" s="151"/>
      <c r="K7" s="15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s="1" customFormat="1" ht="18.75" x14ac:dyDescent="0.3">
      <c r="A8" s="8" t="s">
        <v>28</v>
      </c>
      <c r="B8" s="9" t="s">
        <v>33</v>
      </c>
      <c r="C8" s="11">
        <v>43959</v>
      </c>
      <c r="D8" s="11">
        <v>43960</v>
      </c>
      <c r="E8" s="11">
        <v>43961</v>
      </c>
      <c r="F8" s="11">
        <v>43962</v>
      </c>
      <c r="G8" s="11">
        <v>43963</v>
      </c>
      <c r="H8" s="11">
        <v>43964</v>
      </c>
      <c r="I8" s="11">
        <v>43965</v>
      </c>
      <c r="J8" s="11">
        <v>43966</v>
      </c>
      <c r="K8" s="11">
        <v>43967</v>
      </c>
      <c r="L8" s="11">
        <v>43968</v>
      </c>
      <c r="M8" s="11">
        <v>43969</v>
      </c>
      <c r="N8" s="11">
        <v>43970</v>
      </c>
      <c r="O8" s="11">
        <v>43971</v>
      </c>
      <c r="P8" s="11">
        <v>43972</v>
      </c>
      <c r="Q8" s="11">
        <v>43973</v>
      </c>
      <c r="R8" s="11">
        <v>43974</v>
      </c>
      <c r="S8" s="11">
        <v>43975</v>
      </c>
      <c r="T8" s="11">
        <v>43976</v>
      </c>
      <c r="U8" s="11">
        <v>43977</v>
      </c>
      <c r="V8" s="11">
        <v>43978</v>
      </c>
      <c r="W8" s="11">
        <v>43979</v>
      </c>
      <c r="X8" s="11">
        <v>43980</v>
      </c>
      <c r="Y8" s="11">
        <v>43981</v>
      </c>
      <c r="Z8" s="11">
        <v>43982</v>
      </c>
      <c r="AA8" s="11">
        <v>43983</v>
      </c>
      <c r="AB8" s="11">
        <v>43984</v>
      </c>
      <c r="AC8" s="11">
        <v>43985</v>
      </c>
      <c r="AD8" s="11">
        <v>43986</v>
      </c>
      <c r="AE8" s="11">
        <v>43987</v>
      </c>
      <c r="AF8" s="11">
        <v>43988</v>
      </c>
      <c r="AG8" s="11">
        <v>43989</v>
      </c>
      <c r="AH8" s="11">
        <v>43990</v>
      </c>
      <c r="AI8" s="11">
        <v>43991</v>
      </c>
      <c r="AJ8" s="11">
        <v>43992</v>
      </c>
      <c r="AK8" s="11">
        <v>43993</v>
      </c>
      <c r="AL8" s="11">
        <v>43994</v>
      </c>
      <c r="AM8" s="11">
        <v>43995</v>
      </c>
      <c r="AN8" s="11">
        <v>43996</v>
      </c>
      <c r="AO8" s="11">
        <v>43997</v>
      </c>
      <c r="AP8" s="4"/>
    </row>
    <row r="9" spans="1:42" x14ac:dyDescent="0.25">
      <c r="A9" s="75" t="s">
        <v>34</v>
      </c>
      <c r="B9" s="13">
        <v>100</v>
      </c>
      <c r="C9" s="13">
        <f>B9</f>
        <v>100</v>
      </c>
      <c r="D9" s="13">
        <f t="shared" ref="D9:K12" si="0">C9</f>
        <v>100</v>
      </c>
      <c r="E9" s="13">
        <f t="shared" si="0"/>
        <v>100</v>
      </c>
      <c r="F9" s="13">
        <f t="shared" si="0"/>
        <v>100</v>
      </c>
      <c r="G9" s="13">
        <f t="shared" si="0"/>
        <v>100</v>
      </c>
      <c r="H9" s="13">
        <f t="shared" si="0"/>
        <v>100</v>
      </c>
      <c r="I9" s="13">
        <f t="shared" si="0"/>
        <v>100</v>
      </c>
      <c r="J9" s="13">
        <f t="shared" si="0"/>
        <v>100</v>
      </c>
      <c r="K9" s="13">
        <f t="shared" si="0"/>
        <v>100</v>
      </c>
      <c r="L9" s="13">
        <f t="shared" ref="L9:AO9" si="1">K9</f>
        <v>100</v>
      </c>
      <c r="M9" s="13">
        <f t="shared" si="1"/>
        <v>100</v>
      </c>
      <c r="N9" s="13">
        <f t="shared" si="1"/>
        <v>100</v>
      </c>
      <c r="O9" s="13">
        <f t="shared" si="1"/>
        <v>100</v>
      </c>
      <c r="P9" s="13">
        <f t="shared" si="1"/>
        <v>100</v>
      </c>
      <c r="Q9" s="13">
        <f t="shared" si="1"/>
        <v>100</v>
      </c>
      <c r="R9" s="13">
        <f t="shared" si="1"/>
        <v>100</v>
      </c>
      <c r="S9" s="13">
        <f t="shared" si="1"/>
        <v>100</v>
      </c>
      <c r="T9" s="13">
        <f t="shared" si="1"/>
        <v>100</v>
      </c>
      <c r="U9" s="13">
        <f t="shared" si="1"/>
        <v>100</v>
      </c>
      <c r="V9" s="13">
        <f t="shared" si="1"/>
        <v>100</v>
      </c>
      <c r="W9" s="13">
        <f t="shared" si="1"/>
        <v>100</v>
      </c>
      <c r="X9" s="13">
        <f t="shared" si="1"/>
        <v>100</v>
      </c>
      <c r="Y9" s="13">
        <f t="shared" si="1"/>
        <v>100</v>
      </c>
      <c r="Z9" s="13">
        <f t="shared" si="1"/>
        <v>100</v>
      </c>
      <c r="AA9" s="13">
        <f t="shared" si="1"/>
        <v>100</v>
      </c>
      <c r="AB9" s="13">
        <f t="shared" si="1"/>
        <v>100</v>
      </c>
      <c r="AC9" s="13">
        <f t="shared" si="1"/>
        <v>100</v>
      </c>
      <c r="AD9" s="13">
        <f t="shared" si="1"/>
        <v>100</v>
      </c>
      <c r="AE9" s="13">
        <f t="shared" si="1"/>
        <v>100</v>
      </c>
      <c r="AF9" s="13">
        <f t="shared" si="1"/>
        <v>100</v>
      </c>
      <c r="AG9" s="13">
        <f t="shared" si="1"/>
        <v>100</v>
      </c>
      <c r="AH9" s="13">
        <f t="shared" si="1"/>
        <v>100</v>
      </c>
      <c r="AI9" s="13">
        <f t="shared" si="1"/>
        <v>100</v>
      </c>
      <c r="AJ9" s="13">
        <f t="shared" si="1"/>
        <v>100</v>
      </c>
      <c r="AK9" s="13">
        <f t="shared" si="1"/>
        <v>100</v>
      </c>
      <c r="AL9" s="13">
        <f t="shared" si="1"/>
        <v>100</v>
      </c>
      <c r="AM9" s="13">
        <f t="shared" si="1"/>
        <v>100</v>
      </c>
      <c r="AN9" s="13">
        <f t="shared" si="1"/>
        <v>100</v>
      </c>
      <c r="AO9" s="14">
        <f t="shared" si="1"/>
        <v>100</v>
      </c>
      <c r="AP9" s="19">
        <f>SUM(B9:AO9)</f>
        <v>4000</v>
      </c>
    </row>
    <row r="10" spans="1:42" x14ac:dyDescent="0.25">
      <c r="A10" s="75" t="s">
        <v>35</v>
      </c>
      <c r="B10" s="13">
        <v>100</v>
      </c>
      <c r="C10" s="13">
        <f>B10</f>
        <v>100</v>
      </c>
      <c r="D10" s="13">
        <f t="shared" si="0"/>
        <v>100</v>
      </c>
      <c r="E10" s="13">
        <f t="shared" si="0"/>
        <v>100</v>
      </c>
      <c r="F10" s="13">
        <f t="shared" si="0"/>
        <v>100</v>
      </c>
      <c r="G10" s="13">
        <f t="shared" si="0"/>
        <v>100</v>
      </c>
      <c r="H10" s="13">
        <f t="shared" si="0"/>
        <v>100</v>
      </c>
      <c r="I10" s="13">
        <f t="shared" si="0"/>
        <v>100</v>
      </c>
      <c r="J10" s="13">
        <f t="shared" si="0"/>
        <v>100</v>
      </c>
      <c r="K10" s="13">
        <f t="shared" si="0"/>
        <v>100</v>
      </c>
      <c r="L10" s="13">
        <f t="shared" ref="L10:AO10" si="2">K10</f>
        <v>100</v>
      </c>
      <c r="M10" s="13">
        <f t="shared" si="2"/>
        <v>100</v>
      </c>
      <c r="N10" s="13">
        <f t="shared" si="2"/>
        <v>100</v>
      </c>
      <c r="O10" s="13">
        <f t="shared" si="2"/>
        <v>100</v>
      </c>
      <c r="P10" s="13">
        <f t="shared" si="2"/>
        <v>100</v>
      </c>
      <c r="Q10" s="13">
        <f t="shared" si="2"/>
        <v>100</v>
      </c>
      <c r="R10" s="13">
        <f t="shared" si="2"/>
        <v>100</v>
      </c>
      <c r="S10" s="13">
        <f t="shared" si="2"/>
        <v>100</v>
      </c>
      <c r="T10" s="13">
        <f t="shared" si="2"/>
        <v>100</v>
      </c>
      <c r="U10" s="13">
        <f t="shared" si="2"/>
        <v>100</v>
      </c>
      <c r="V10" s="13">
        <f t="shared" si="2"/>
        <v>100</v>
      </c>
      <c r="W10" s="13">
        <f t="shared" si="2"/>
        <v>100</v>
      </c>
      <c r="X10" s="13">
        <f t="shared" si="2"/>
        <v>100</v>
      </c>
      <c r="Y10" s="13">
        <f t="shared" si="2"/>
        <v>100</v>
      </c>
      <c r="Z10" s="13">
        <f t="shared" si="2"/>
        <v>100</v>
      </c>
      <c r="AA10" s="13">
        <f t="shared" si="2"/>
        <v>100</v>
      </c>
      <c r="AB10" s="13">
        <f t="shared" si="2"/>
        <v>100</v>
      </c>
      <c r="AC10" s="13">
        <f t="shared" si="2"/>
        <v>100</v>
      </c>
      <c r="AD10" s="13">
        <f t="shared" si="2"/>
        <v>100</v>
      </c>
      <c r="AE10" s="13">
        <f t="shared" si="2"/>
        <v>100</v>
      </c>
      <c r="AF10" s="13">
        <f t="shared" si="2"/>
        <v>100</v>
      </c>
      <c r="AG10" s="13">
        <f t="shared" si="2"/>
        <v>100</v>
      </c>
      <c r="AH10" s="13">
        <f t="shared" si="2"/>
        <v>100</v>
      </c>
      <c r="AI10" s="13">
        <f t="shared" si="2"/>
        <v>100</v>
      </c>
      <c r="AJ10" s="13">
        <f t="shared" si="2"/>
        <v>100</v>
      </c>
      <c r="AK10" s="13">
        <f t="shared" si="2"/>
        <v>100</v>
      </c>
      <c r="AL10" s="13">
        <f t="shared" si="2"/>
        <v>100</v>
      </c>
      <c r="AM10" s="13">
        <f t="shared" si="2"/>
        <v>100</v>
      </c>
      <c r="AN10" s="13">
        <f t="shared" si="2"/>
        <v>100</v>
      </c>
      <c r="AO10" s="14">
        <f t="shared" si="2"/>
        <v>100</v>
      </c>
      <c r="AP10" s="19">
        <f>SUM(B10:AO10)</f>
        <v>4000</v>
      </c>
    </row>
    <row r="11" spans="1:42" x14ac:dyDescent="0.25">
      <c r="A11" s="75" t="s">
        <v>36</v>
      </c>
      <c r="B11" s="13">
        <v>100</v>
      </c>
      <c r="C11" s="13">
        <f>B11</f>
        <v>100</v>
      </c>
      <c r="D11" s="13">
        <f t="shared" si="0"/>
        <v>100</v>
      </c>
      <c r="E11" s="13">
        <f t="shared" si="0"/>
        <v>100</v>
      </c>
      <c r="F11" s="13">
        <f t="shared" si="0"/>
        <v>100</v>
      </c>
      <c r="G11" s="13">
        <f t="shared" si="0"/>
        <v>100</v>
      </c>
      <c r="H11" s="13">
        <f t="shared" si="0"/>
        <v>100</v>
      </c>
      <c r="I11" s="13">
        <f t="shared" si="0"/>
        <v>100</v>
      </c>
      <c r="J11" s="13">
        <f t="shared" si="0"/>
        <v>100</v>
      </c>
      <c r="K11" s="13">
        <f t="shared" si="0"/>
        <v>100</v>
      </c>
      <c r="L11" s="13">
        <f t="shared" ref="L11:AO11" si="3">K11</f>
        <v>100</v>
      </c>
      <c r="M11" s="13">
        <f t="shared" si="3"/>
        <v>100</v>
      </c>
      <c r="N11" s="13">
        <f t="shared" si="3"/>
        <v>100</v>
      </c>
      <c r="O11" s="13">
        <f t="shared" si="3"/>
        <v>100</v>
      </c>
      <c r="P11" s="13">
        <f t="shared" si="3"/>
        <v>100</v>
      </c>
      <c r="Q11" s="13">
        <f t="shared" si="3"/>
        <v>100</v>
      </c>
      <c r="R11" s="13">
        <f t="shared" si="3"/>
        <v>100</v>
      </c>
      <c r="S11" s="13">
        <f t="shared" si="3"/>
        <v>100</v>
      </c>
      <c r="T11" s="13">
        <f t="shared" si="3"/>
        <v>100</v>
      </c>
      <c r="U11" s="13">
        <f t="shared" si="3"/>
        <v>100</v>
      </c>
      <c r="V11" s="13">
        <f t="shared" si="3"/>
        <v>100</v>
      </c>
      <c r="W11" s="13">
        <f t="shared" si="3"/>
        <v>100</v>
      </c>
      <c r="X11" s="13">
        <f t="shared" si="3"/>
        <v>100</v>
      </c>
      <c r="Y11" s="13">
        <f t="shared" si="3"/>
        <v>100</v>
      </c>
      <c r="Z11" s="13">
        <f t="shared" si="3"/>
        <v>100</v>
      </c>
      <c r="AA11" s="13">
        <f t="shared" si="3"/>
        <v>100</v>
      </c>
      <c r="AB11" s="13">
        <f t="shared" si="3"/>
        <v>100</v>
      </c>
      <c r="AC11" s="13">
        <f t="shared" si="3"/>
        <v>100</v>
      </c>
      <c r="AD11" s="13">
        <f t="shared" si="3"/>
        <v>100</v>
      </c>
      <c r="AE11" s="13">
        <f t="shared" si="3"/>
        <v>100</v>
      </c>
      <c r="AF11" s="13">
        <f t="shared" si="3"/>
        <v>100</v>
      </c>
      <c r="AG11" s="13">
        <f t="shared" si="3"/>
        <v>100</v>
      </c>
      <c r="AH11" s="13">
        <f t="shared" si="3"/>
        <v>100</v>
      </c>
      <c r="AI11" s="13">
        <f t="shared" si="3"/>
        <v>100</v>
      </c>
      <c r="AJ11" s="13">
        <f t="shared" si="3"/>
        <v>100</v>
      </c>
      <c r="AK11" s="13">
        <f t="shared" si="3"/>
        <v>100</v>
      </c>
      <c r="AL11" s="13">
        <f t="shared" si="3"/>
        <v>100</v>
      </c>
      <c r="AM11" s="13">
        <f t="shared" si="3"/>
        <v>100</v>
      </c>
      <c r="AN11" s="13">
        <f t="shared" si="3"/>
        <v>100</v>
      </c>
      <c r="AO11" s="14">
        <f t="shared" si="3"/>
        <v>100</v>
      </c>
      <c r="AP11" s="19">
        <f>SUM(B11:AO11)</f>
        <v>4000</v>
      </c>
    </row>
    <row r="12" spans="1:42" x14ac:dyDescent="0.25">
      <c r="A12" s="75" t="s">
        <v>37</v>
      </c>
      <c r="B12" s="13">
        <v>100</v>
      </c>
      <c r="C12" s="13">
        <f>B12</f>
        <v>100</v>
      </c>
      <c r="D12" s="13">
        <f t="shared" si="0"/>
        <v>100</v>
      </c>
      <c r="E12" s="13">
        <f t="shared" si="0"/>
        <v>100</v>
      </c>
      <c r="F12" s="13">
        <f t="shared" si="0"/>
        <v>100</v>
      </c>
      <c r="G12" s="13">
        <f t="shared" si="0"/>
        <v>100</v>
      </c>
      <c r="H12" s="13">
        <f t="shared" si="0"/>
        <v>100</v>
      </c>
      <c r="I12" s="13">
        <f t="shared" si="0"/>
        <v>100</v>
      </c>
      <c r="J12" s="13">
        <f t="shared" si="0"/>
        <v>100</v>
      </c>
      <c r="K12" s="13">
        <f t="shared" si="0"/>
        <v>100</v>
      </c>
      <c r="L12" s="13">
        <f t="shared" ref="L12:AO12" si="4">K12</f>
        <v>100</v>
      </c>
      <c r="M12" s="13">
        <f t="shared" si="4"/>
        <v>100</v>
      </c>
      <c r="N12" s="13">
        <f t="shared" si="4"/>
        <v>100</v>
      </c>
      <c r="O12" s="13">
        <f t="shared" si="4"/>
        <v>100</v>
      </c>
      <c r="P12" s="13">
        <f t="shared" si="4"/>
        <v>100</v>
      </c>
      <c r="Q12" s="13">
        <f t="shared" si="4"/>
        <v>100</v>
      </c>
      <c r="R12" s="13">
        <f t="shared" si="4"/>
        <v>100</v>
      </c>
      <c r="S12" s="13">
        <f t="shared" si="4"/>
        <v>100</v>
      </c>
      <c r="T12" s="13">
        <f t="shared" si="4"/>
        <v>100</v>
      </c>
      <c r="U12" s="13">
        <f t="shared" si="4"/>
        <v>100</v>
      </c>
      <c r="V12" s="13">
        <f t="shared" si="4"/>
        <v>100</v>
      </c>
      <c r="W12" s="13">
        <f t="shared" si="4"/>
        <v>100</v>
      </c>
      <c r="X12" s="13">
        <f t="shared" si="4"/>
        <v>100</v>
      </c>
      <c r="Y12" s="13">
        <f t="shared" si="4"/>
        <v>100</v>
      </c>
      <c r="Z12" s="13">
        <f t="shared" si="4"/>
        <v>100</v>
      </c>
      <c r="AA12" s="13">
        <f t="shared" si="4"/>
        <v>100</v>
      </c>
      <c r="AB12" s="13">
        <f t="shared" si="4"/>
        <v>100</v>
      </c>
      <c r="AC12" s="13">
        <f t="shared" si="4"/>
        <v>100</v>
      </c>
      <c r="AD12" s="13">
        <f t="shared" si="4"/>
        <v>100</v>
      </c>
      <c r="AE12" s="13">
        <f t="shared" si="4"/>
        <v>100</v>
      </c>
      <c r="AF12" s="13">
        <f t="shared" si="4"/>
        <v>100</v>
      </c>
      <c r="AG12" s="13">
        <f t="shared" si="4"/>
        <v>100</v>
      </c>
      <c r="AH12" s="13">
        <f t="shared" si="4"/>
        <v>100</v>
      </c>
      <c r="AI12" s="13">
        <f t="shared" si="4"/>
        <v>100</v>
      </c>
      <c r="AJ12" s="13">
        <f t="shared" si="4"/>
        <v>100</v>
      </c>
      <c r="AK12" s="13">
        <f t="shared" si="4"/>
        <v>100</v>
      </c>
      <c r="AL12" s="13">
        <f t="shared" si="4"/>
        <v>100</v>
      </c>
      <c r="AM12" s="13">
        <f t="shared" si="4"/>
        <v>100</v>
      </c>
      <c r="AN12" s="13">
        <f t="shared" si="4"/>
        <v>100</v>
      </c>
      <c r="AO12" s="14">
        <f t="shared" si="4"/>
        <v>100</v>
      </c>
      <c r="AP12" s="19">
        <f>SUM(B12:AO12)</f>
        <v>4000</v>
      </c>
    </row>
    <row r="13" spans="1:42" x14ac:dyDescent="0.25">
      <c r="A13" s="10"/>
      <c r="B13" s="15"/>
      <c r="C13" s="15"/>
      <c r="D13" s="15"/>
      <c r="E13" s="15"/>
      <c r="F13" s="15"/>
      <c r="G13" s="15"/>
      <c r="H13" s="15"/>
      <c r="I13" s="15"/>
      <c r="J13" s="16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38</v>
      </c>
      <c r="AP13" s="19">
        <f>SUM(AP9:AP12)</f>
        <v>16000</v>
      </c>
    </row>
  </sheetData>
  <mergeCells count="2">
    <mergeCell ref="A1:K1"/>
    <mergeCell ref="C7:K7"/>
  </mergeCells>
  <printOptions horizontalCentered="1"/>
  <pageMargins left="0" right="0" top="0.74803149606299213" bottom="0.74803149606299213" header="0.31496062992125984" footer="0.31496062992125984"/>
  <pageSetup scale="7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N15"/>
  <sheetViews>
    <sheetView zoomScaleNormal="100" workbookViewId="0">
      <selection activeCell="C2" sqref="C2"/>
    </sheetView>
  </sheetViews>
  <sheetFormatPr baseColWidth="10" defaultColWidth="11.42578125" defaultRowHeight="15" x14ac:dyDescent="0.25"/>
  <cols>
    <col min="1" max="1" width="4.5703125" bestFit="1" customWidth="1"/>
    <col min="2" max="2" width="10.7109375" bestFit="1" customWidth="1"/>
    <col min="3" max="3" width="14.5703125" bestFit="1" customWidth="1"/>
    <col min="4" max="4" width="10.140625" bestFit="1" customWidth="1"/>
    <col min="5" max="5" width="6.5703125" bestFit="1" customWidth="1"/>
    <col min="6" max="6" width="6.42578125" bestFit="1" customWidth="1"/>
    <col min="7" max="7" width="7.7109375" bestFit="1" customWidth="1"/>
    <col min="8" max="8" width="6.5703125" bestFit="1" customWidth="1"/>
    <col min="9" max="9" width="6.42578125" bestFit="1" customWidth="1"/>
    <col min="10" max="10" width="7.42578125" bestFit="1" customWidth="1"/>
    <col min="11" max="11" width="7.5703125" bestFit="1" customWidth="1"/>
    <col min="12" max="12" width="9.140625" bestFit="1" customWidth="1"/>
    <col min="13" max="13" width="9.7109375" bestFit="1" customWidth="1"/>
    <col min="14" max="14" width="7.28515625" bestFit="1" customWidth="1"/>
    <col min="15" max="15" width="9.7109375" bestFit="1" customWidth="1"/>
    <col min="16" max="16" width="7.5703125" bestFit="1" customWidth="1"/>
    <col min="17" max="17" width="7.42578125" bestFit="1" customWidth="1"/>
    <col min="18" max="18" width="7.5703125" bestFit="1" customWidth="1"/>
    <col min="19" max="19" width="9.140625" bestFit="1" customWidth="1"/>
    <col min="20" max="20" width="9.7109375" bestFit="1" customWidth="1"/>
    <col min="21" max="21" width="7.28515625" bestFit="1" customWidth="1"/>
    <col min="22" max="22" width="9.7109375" bestFit="1" customWidth="1"/>
    <col min="23" max="23" width="6.42578125" bestFit="1" customWidth="1"/>
    <col min="24" max="24" width="7.42578125" bestFit="1" customWidth="1"/>
    <col min="25" max="25" width="7.5703125" bestFit="1" customWidth="1"/>
    <col min="26" max="26" width="9.140625" bestFit="1" customWidth="1"/>
    <col min="27" max="27" width="6.42578125" bestFit="1" customWidth="1"/>
    <col min="28" max="28" width="7.28515625" bestFit="1" customWidth="1"/>
    <col min="29" max="29" width="9.7109375" bestFit="1" customWidth="1"/>
    <col min="30" max="30" width="6.42578125" bestFit="1" customWidth="1"/>
    <col min="31" max="31" width="7.42578125" bestFit="1" customWidth="1"/>
    <col min="32" max="32" width="7.5703125" bestFit="1" customWidth="1"/>
    <col min="33" max="33" width="9.140625" bestFit="1" customWidth="1"/>
    <col min="34" max="34" width="9.7109375" bestFit="1" customWidth="1"/>
    <col min="35" max="35" width="7.28515625" bestFit="1" customWidth="1"/>
    <col min="36" max="36" width="5.7109375" bestFit="1" customWidth="1"/>
    <col min="37" max="43" width="6.42578125" bestFit="1" customWidth="1"/>
    <col min="44" max="49" width="7.28515625" bestFit="1" customWidth="1"/>
    <col min="50" max="65" width="5.85546875" bestFit="1" customWidth="1"/>
    <col min="66" max="66" width="6.140625" bestFit="1" customWidth="1"/>
  </cols>
  <sheetData>
    <row r="1" spans="1:66" ht="18.75" x14ac:dyDescent="0.3">
      <c r="A1" s="152" t="s">
        <v>24</v>
      </c>
      <c r="B1" s="152"/>
      <c r="C1" s="37">
        <v>1539</v>
      </c>
    </row>
    <row r="2" spans="1:66" ht="18.75" x14ac:dyDescent="0.3">
      <c r="A2" s="152" t="s">
        <v>25</v>
      </c>
      <c r="B2" s="152"/>
      <c r="C2" s="38">
        <f>AJ15</f>
        <v>1539</v>
      </c>
    </row>
    <row r="3" spans="1:66" ht="18.75" x14ac:dyDescent="0.3">
      <c r="A3" s="152" t="s">
        <v>26</v>
      </c>
      <c r="B3" s="152"/>
      <c r="C3" s="39">
        <f>C1-C2</f>
        <v>0</v>
      </c>
    </row>
    <row r="4" spans="1:66" x14ac:dyDescent="0.25">
      <c r="E4" s="148" t="s">
        <v>111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4"/>
    </row>
    <row r="5" spans="1:66" s="1" customFormat="1" ht="18.75" x14ac:dyDescent="0.3">
      <c r="E5" s="122" t="s">
        <v>105</v>
      </c>
      <c r="F5" s="122" t="s">
        <v>99</v>
      </c>
      <c r="G5" s="122" t="s">
        <v>100</v>
      </c>
      <c r="H5" s="122" t="s">
        <v>101</v>
      </c>
      <c r="I5" s="122" t="s">
        <v>102</v>
      </c>
      <c r="J5" s="122" t="s">
        <v>103</v>
      </c>
      <c r="K5" s="122" t="s">
        <v>104</v>
      </c>
      <c r="L5" s="122" t="s">
        <v>105</v>
      </c>
      <c r="M5" s="122" t="s">
        <v>99</v>
      </c>
      <c r="N5" s="122" t="s">
        <v>100</v>
      </c>
      <c r="O5" s="122" t="s">
        <v>101</v>
      </c>
      <c r="P5" s="122" t="s">
        <v>102</v>
      </c>
      <c r="Q5" s="122" t="s">
        <v>103</v>
      </c>
      <c r="R5" s="122" t="s">
        <v>104</v>
      </c>
      <c r="S5" s="122" t="s">
        <v>105</v>
      </c>
      <c r="T5" s="122" t="s">
        <v>99</v>
      </c>
      <c r="U5" s="122" t="s">
        <v>100</v>
      </c>
      <c r="V5" s="122" t="s">
        <v>101</v>
      </c>
      <c r="W5" s="122" t="s">
        <v>102</v>
      </c>
      <c r="X5" s="122" t="s">
        <v>103</v>
      </c>
      <c r="Y5" s="122" t="s">
        <v>104</v>
      </c>
      <c r="Z5" s="122" t="s">
        <v>105</v>
      </c>
      <c r="AA5" s="122" t="s">
        <v>99</v>
      </c>
      <c r="AB5" s="122" t="s">
        <v>100</v>
      </c>
      <c r="AC5" s="122" t="s">
        <v>101</v>
      </c>
      <c r="AD5" s="122" t="s">
        <v>102</v>
      </c>
      <c r="AE5" s="122" t="s">
        <v>103</v>
      </c>
      <c r="AF5" s="122" t="s">
        <v>104</v>
      </c>
      <c r="AG5" s="122" t="s">
        <v>105</v>
      </c>
      <c r="AH5" s="122" t="s">
        <v>99</v>
      </c>
      <c r="AI5" s="122" t="s">
        <v>100</v>
      </c>
      <c r="AJ5" s="4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6" spans="1:66" s="1" customFormat="1" ht="18.75" x14ac:dyDescent="0.3">
      <c r="A6" s="35" t="s">
        <v>27</v>
      </c>
      <c r="B6" s="35" t="s">
        <v>28</v>
      </c>
      <c r="C6" s="36" t="s">
        <v>39</v>
      </c>
      <c r="D6" s="36" t="s">
        <v>33</v>
      </c>
      <c r="E6" s="105">
        <v>46023</v>
      </c>
      <c r="F6" s="105">
        <v>46024</v>
      </c>
      <c r="G6" s="105">
        <v>46025</v>
      </c>
      <c r="H6" s="105">
        <v>46026</v>
      </c>
      <c r="I6" s="105">
        <v>46027</v>
      </c>
      <c r="J6" s="105">
        <v>46028</v>
      </c>
      <c r="K6" s="105">
        <v>46029</v>
      </c>
      <c r="L6" s="105">
        <v>46030</v>
      </c>
      <c r="M6" s="105">
        <v>46031</v>
      </c>
      <c r="N6" s="105">
        <v>46032</v>
      </c>
      <c r="O6" s="105">
        <v>46033</v>
      </c>
      <c r="P6" s="105">
        <v>46034</v>
      </c>
      <c r="Q6" s="105">
        <v>46035</v>
      </c>
      <c r="R6" s="105">
        <v>46036</v>
      </c>
      <c r="S6" s="105">
        <v>46037</v>
      </c>
      <c r="T6" s="105">
        <v>46038</v>
      </c>
      <c r="U6" s="105">
        <v>46039</v>
      </c>
      <c r="V6" s="105">
        <v>46040</v>
      </c>
      <c r="W6" s="105">
        <v>46041</v>
      </c>
      <c r="X6" s="105">
        <v>46042</v>
      </c>
      <c r="Y6" s="105">
        <v>46043</v>
      </c>
      <c r="Z6" s="105">
        <v>46044</v>
      </c>
      <c r="AA6" s="105">
        <v>46045</v>
      </c>
      <c r="AB6" s="105">
        <v>46046</v>
      </c>
      <c r="AC6" s="105">
        <v>46047</v>
      </c>
      <c r="AD6" s="105">
        <v>46048</v>
      </c>
      <c r="AE6" s="105">
        <v>46049</v>
      </c>
      <c r="AF6" s="105">
        <v>46050</v>
      </c>
      <c r="AG6" s="105">
        <v>46051</v>
      </c>
      <c r="AH6" s="105">
        <v>46052</v>
      </c>
      <c r="AI6" s="105">
        <v>46053</v>
      </c>
      <c r="AJ6" s="4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6" s="4" customFormat="1" x14ac:dyDescent="0.25">
      <c r="A7" s="78">
        <v>1</v>
      </c>
      <c r="B7" s="76" t="s">
        <v>52</v>
      </c>
      <c r="C7" s="77">
        <v>4900</v>
      </c>
      <c r="D7" s="79">
        <v>51.3</v>
      </c>
      <c r="E7" s="79">
        <v>51.3</v>
      </c>
      <c r="F7" s="79">
        <v>51.3</v>
      </c>
      <c r="G7" s="79">
        <v>51.3</v>
      </c>
      <c r="H7" s="79">
        <v>51.3</v>
      </c>
      <c r="I7" s="79">
        <v>51.3</v>
      </c>
      <c r="J7" s="79"/>
      <c r="K7" s="79"/>
      <c r="L7" s="79"/>
      <c r="M7" s="79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106">
        <f>SUM(E7:AI7)</f>
        <v>256.5</v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s="6">
        <f t="shared" ref="BN7:BN14" si="0">SUM(E7:BM7)</f>
        <v>513</v>
      </c>
    </row>
    <row r="8" spans="1:66" s="4" customFormat="1" x14ac:dyDescent="0.25">
      <c r="A8" s="78">
        <v>2</v>
      </c>
      <c r="B8" s="76" t="s">
        <v>53</v>
      </c>
      <c r="C8" s="77">
        <v>4900</v>
      </c>
      <c r="D8" s="79">
        <v>51.3</v>
      </c>
      <c r="E8" s="79">
        <v>51.3</v>
      </c>
      <c r="F8" s="79">
        <v>51.3</v>
      </c>
      <c r="G8" s="79">
        <v>51.3</v>
      </c>
      <c r="H8" s="79">
        <v>51.3</v>
      </c>
      <c r="I8" s="79">
        <v>51.3</v>
      </c>
      <c r="J8" s="79"/>
      <c r="K8" s="79"/>
      <c r="L8" s="79"/>
      <c r="M8" s="79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106">
        <f t="shared" ref="AJ8:AJ14" si="1">SUM(E8:AI8)</f>
        <v>256.5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 s="6">
        <f t="shared" si="0"/>
        <v>513</v>
      </c>
    </row>
    <row r="9" spans="1:66" s="4" customFormat="1" x14ac:dyDescent="0.25">
      <c r="A9" s="78">
        <v>3</v>
      </c>
      <c r="B9" s="76" t="s">
        <v>54</v>
      </c>
      <c r="C9" s="77">
        <v>4900</v>
      </c>
      <c r="D9" s="79">
        <v>51.3</v>
      </c>
      <c r="E9" s="79">
        <v>51.3</v>
      </c>
      <c r="F9" s="79">
        <v>51.3</v>
      </c>
      <c r="G9" s="79">
        <v>51.3</v>
      </c>
      <c r="H9" s="79">
        <v>51.3</v>
      </c>
      <c r="I9" s="79">
        <v>51.3</v>
      </c>
      <c r="J9" s="79"/>
      <c r="K9" s="79"/>
      <c r="L9" s="79"/>
      <c r="M9" s="79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106">
        <f t="shared" si="1"/>
        <v>256.5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s="6">
        <f t="shared" si="0"/>
        <v>513</v>
      </c>
    </row>
    <row r="10" spans="1:66" x14ac:dyDescent="0.25">
      <c r="A10" s="78">
        <v>4</v>
      </c>
      <c r="B10" s="76" t="s">
        <v>55</v>
      </c>
      <c r="C10" s="77">
        <v>4900</v>
      </c>
      <c r="D10" s="79">
        <v>51.3</v>
      </c>
      <c r="E10" s="79">
        <v>51.3</v>
      </c>
      <c r="F10" s="79">
        <v>51.3</v>
      </c>
      <c r="G10" s="79">
        <v>51.3</v>
      </c>
      <c r="H10" s="79">
        <v>51.3</v>
      </c>
      <c r="I10" s="79">
        <v>51.3</v>
      </c>
      <c r="J10" s="79"/>
      <c r="K10" s="79"/>
      <c r="L10" s="79"/>
      <c r="M10" s="79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106">
        <f t="shared" si="1"/>
        <v>256.5</v>
      </c>
      <c r="BN10" s="6">
        <f t="shared" si="0"/>
        <v>513</v>
      </c>
    </row>
    <row r="11" spans="1:66" s="4" customFormat="1" x14ac:dyDescent="0.25">
      <c r="A11" s="78">
        <v>5</v>
      </c>
      <c r="B11" s="76" t="s">
        <v>106</v>
      </c>
      <c r="C11" s="77">
        <v>4900</v>
      </c>
      <c r="D11" s="79">
        <v>51.3</v>
      </c>
      <c r="E11" s="79">
        <v>51.3</v>
      </c>
      <c r="F11" s="79">
        <v>51.3</v>
      </c>
      <c r="G11" s="79">
        <v>51.3</v>
      </c>
      <c r="H11" s="79">
        <v>51.3</v>
      </c>
      <c r="I11" s="79">
        <v>51.3</v>
      </c>
      <c r="J11" s="79"/>
      <c r="K11" s="79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106">
        <f t="shared" si="1"/>
        <v>256.5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s="6">
        <f t="shared" si="0"/>
        <v>513</v>
      </c>
    </row>
    <row r="12" spans="1:66" x14ac:dyDescent="0.25">
      <c r="A12" s="78">
        <v>6</v>
      </c>
      <c r="B12" s="76" t="s">
        <v>107</v>
      </c>
      <c r="C12" s="77">
        <v>4900</v>
      </c>
      <c r="D12" s="79">
        <v>51.3</v>
      </c>
      <c r="E12" s="79">
        <v>51.3</v>
      </c>
      <c r="F12" s="79">
        <v>51.3</v>
      </c>
      <c r="G12" s="79">
        <v>51.3</v>
      </c>
      <c r="H12" s="79">
        <v>51.3</v>
      </c>
      <c r="I12" s="79">
        <v>51.3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106">
        <f t="shared" si="1"/>
        <v>256.5</v>
      </c>
      <c r="BN12" s="6">
        <f t="shared" si="0"/>
        <v>513</v>
      </c>
    </row>
    <row r="13" spans="1:66" x14ac:dyDescent="0.25">
      <c r="A13" s="78">
        <v>7</v>
      </c>
      <c r="B13" s="76" t="s">
        <v>108</v>
      </c>
      <c r="C13" s="77">
        <v>4900</v>
      </c>
      <c r="D13" s="79">
        <v>51.3</v>
      </c>
      <c r="E13" s="79"/>
      <c r="F13" s="79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106">
        <f t="shared" si="1"/>
        <v>0</v>
      </c>
      <c r="BN13" s="6"/>
    </row>
    <row r="14" spans="1:66" s="4" customFormat="1" x14ac:dyDescent="0.25">
      <c r="A14" s="78">
        <v>8</v>
      </c>
      <c r="B14" s="76" t="s">
        <v>109</v>
      </c>
      <c r="C14" s="77">
        <v>4900</v>
      </c>
      <c r="D14" s="79">
        <v>51.3</v>
      </c>
      <c r="E14" s="79"/>
      <c r="F14" s="79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106">
        <f t="shared" si="1"/>
        <v>0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s="6">
        <f t="shared" si="0"/>
        <v>0</v>
      </c>
    </row>
    <row r="15" spans="1:66" x14ac:dyDescent="0.25">
      <c r="E15" s="4"/>
      <c r="F15" s="4"/>
      <c r="G15" s="4"/>
      <c r="H15" s="4"/>
      <c r="I15" s="4"/>
      <c r="J15" s="4"/>
      <c r="K15" s="89"/>
      <c r="L15" s="4"/>
      <c r="M15" s="4"/>
      <c r="N15" s="4"/>
      <c r="O15" s="4"/>
      <c r="P15" s="4"/>
      <c r="Q15" s="4"/>
      <c r="R15" s="4"/>
      <c r="S15" s="4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6">
        <f>SUM(AJ7:AJ14)</f>
        <v>1539</v>
      </c>
      <c r="BN15" s="31">
        <f>SUM(BN7:BN14)</f>
        <v>3078</v>
      </c>
    </row>
  </sheetData>
  <mergeCells count="4">
    <mergeCell ref="A1:B1"/>
    <mergeCell ref="A2:B2"/>
    <mergeCell ref="A3:B3"/>
    <mergeCell ref="E4:AI4"/>
  </mergeCells>
  <phoneticPr fontId="18" type="noConversion"/>
  <printOptions horizontalCentered="1"/>
  <pageMargins left="0" right="0" top="0.74803149606299213" bottom="0.74803149606299213" header="0.31496062992125984" footer="0.31496062992125984"/>
  <pageSetup scale="66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48"/>
  <sheetViews>
    <sheetView workbookViewId="0">
      <selection activeCell="E25" sqref="E25"/>
    </sheetView>
  </sheetViews>
  <sheetFormatPr baseColWidth="10" defaultColWidth="11.42578125" defaultRowHeight="12.75" x14ac:dyDescent="0.2"/>
  <cols>
    <col min="1" max="1" width="3.42578125" style="4" bestFit="1" customWidth="1"/>
    <col min="2" max="2" width="30.28515625" style="4" customWidth="1"/>
    <col min="3" max="3" width="11" style="117" bestFit="1" customWidth="1"/>
    <col min="4" max="4" width="12" style="4" bestFit="1" customWidth="1"/>
    <col min="5" max="5" width="11" style="4" customWidth="1"/>
    <col min="6" max="6" width="10.85546875" style="4" bestFit="1" customWidth="1"/>
    <col min="7" max="7" width="66.5703125" style="4" bestFit="1" customWidth="1"/>
    <col min="8" max="8" width="13.42578125" style="4" bestFit="1" customWidth="1"/>
    <col min="9" max="9" width="12" style="4" bestFit="1" customWidth="1"/>
    <col min="10" max="10" width="13.42578125" style="4" bestFit="1" customWidth="1"/>
    <col min="11" max="16384" width="11.42578125" style="4"/>
  </cols>
  <sheetData>
    <row r="1" spans="1:11" ht="15" customHeight="1" x14ac:dyDescent="0.2">
      <c r="A1" s="153" t="s">
        <v>24</v>
      </c>
      <c r="B1" s="153"/>
      <c r="C1" s="115">
        <f>D35</f>
        <v>14942</v>
      </c>
      <c r="D1" s="42"/>
      <c r="E1" s="42"/>
    </row>
    <row r="2" spans="1:11" ht="15" customHeight="1" x14ac:dyDescent="0.2">
      <c r="A2" s="153" t="s">
        <v>25</v>
      </c>
      <c r="B2" s="153"/>
      <c r="C2" s="116">
        <f>E35</f>
        <v>14942</v>
      </c>
      <c r="D2" s="43"/>
      <c r="E2" s="43"/>
      <c r="H2" s="111"/>
      <c r="I2" s="111"/>
      <c r="J2" s="111"/>
      <c r="K2" s="111"/>
    </row>
    <row r="3" spans="1:11" ht="15" customHeight="1" x14ac:dyDescent="0.2">
      <c r="A3" s="153" t="s">
        <v>26</v>
      </c>
      <c r="B3" s="153"/>
      <c r="C3" s="116">
        <f>C1-C2</f>
        <v>0</v>
      </c>
      <c r="D3" s="43"/>
      <c r="E3" s="43"/>
      <c r="H3" s="111"/>
      <c r="I3" s="111"/>
      <c r="J3" s="111"/>
      <c r="K3" s="111"/>
    </row>
    <row r="4" spans="1:11" x14ac:dyDescent="0.2">
      <c r="H4" s="111"/>
      <c r="I4" s="111"/>
      <c r="J4" s="111"/>
      <c r="K4" s="111"/>
    </row>
    <row r="5" spans="1:11" x14ac:dyDescent="0.2">
      <c r="A5" s="154" t="s">
        <v>40</v>
      </c>
      <c r="B5" s="154"/>
      <c r="C5" s="154"/>
      <c r="D5" s="154"/>
      <c r="E5" s="154"/>
      <c r="F5" s="154"/>
      <c r="G5" s="154"/>
      <c r="H5" s="111"/>
      <c r="I5" s="111"/>
      <c r="J5" s="111"/>
      <c r="K5" s="111"/>
    </row>
    <row r="6" spans="1:11" s="51" customFormat="1" x14ac:dyDescent="0.2">
      <c r="A6" s="52" t="s">
        <v>41</v>
      </c>
      <c r="B6" s="52" t="s">
        <v>42</v>
      </c>
      <c r="C6" s="52" t="s">
        <v>43</v>
      </c>
      <c r="D6" s="52" t="s">
        <v>58</v>
      </c>
      <c r="E6" s="52" t="s">
        <v>59</v>
      </c>
      <c r="F6" s="52" t="s">
        <v>45</v>
      </c>
      <c r="G6" s="52" t="s">
        <v>46</v>
      </c>
      <c r="H6" s="111"/>
      <c r="I6" s="112"/>
      <c r="J6" s="112"/>
      <c r="K6" s="112"/>
    </row>
    <row r="7" spans="1:11" ht="52.5" customHeight="1" x14ac:dyDescent="0.25">
      <c r="A7" s="53">
        <v>1</v>
      </c>
      <c r="B7" s="125" t="s">
        <v>116</v>
      </c>
      <c r="C7" s="126">
        <v>70</v>
      </c>
      <c r="D7" s="34">
        <v>10150</v>
      </c>
      <c r="E7" s="34">
        <v>10150</v>
      </c>
      <c r="F7" s="60"/>
      <c r="G7" s="56"/>
      <c r="H7" s="111"/>
      <c r="I7" s="110"/>
      <c r="J7" s="103"/>
      <c r="K7" s="111"/>
    </row>
    <row r="8" spans="1:11" ht="45" x14ac:dyDescent="0.25">
      <c r="A8" s="53">
        <v>2</v>
      </c>
      <c r="B8" s="125" t="s">
        <v>117</v>
      </c>
      <c r="C8" s="126">
        <v>30</v>
      </c>
      <c r="D8" s="34">
        <v>2550</v>
      </c>
      <c r="E8" s="34">
        <v>2550</v>
      </c>
      <c r="F8" s="57"/>
      <c r="G8" s="58"/>
      <c r="H8" s="111"/>
      <c r="I8" s="111"/>
      <c r="J8" s="111"/>
      <c r="K8" s="111"/>
    </row>
    <row r="9" spans="1:11" ht="14.25" customHeight="1" x14ac:dyDescent="0.25">
      <c r="A9" s="53">
        <v>3</v>
      </c>
      <c r="B9" s="125" t="s">
        <v>118</v>
      </c>
      <c r="C9" s="126">
        <v>1</v>
      </c>
      <c r="D9" s="34">
        <v>800</v>
      </c>
      <c r="E9" s="34">
        <v>800</v>
      </c>
      <c r="F9" s="57"/>
      <c r="G9" s="59"/>
      <c r="H9" s="112"/>
      <c r="I9" s="112"/>
      <c r="J9" s="112"/>
      <c r="K9" s="111"/>
    </row>
    <row r="10" spans="1:11" ht="14.25" customHeight="1" x14ac:dyDescent="0.25">
      <c r="A10" s="53">
        <v>4</v>
      </c>
      <c r="B10" s="125" t="s">
        <v>119</v>
      </c>
      <c r="C10" s="126">
        <v>8</v>
      </c>
      <c r="D10" s="34">
        <v>112</v>
      </c>
      <c r="E10" s="34">
        <v>112</v>
      </c>
      <c r="F10" s="61"/>
      <c r="G10" s="58"/>
      <c r="H10" s="110"/>
      <c r="I10" s="110"/>
      <c r="J10" s="111"/>
      <c r="K10" s="111"/>
    </row>
    <row r="11" spans="1:11" ht="15" x14ac:dyDescent="0.25">
      <c r="A11" s="53">
        <v>5</v>
      </c>
      <c r="B11" s="125" t="s">
        <v>120</v>
      </c>
      <c r="C11" s="126">
        <v>2</v>
      </c>
      <c r="D11" s="34">
        <v>480</v>
      </c>
      <c r="E11" s="34">
        <v>480</v>
      </c>
      <c r="F11" s="64"/>
      <c r="G11" s="58"/>
      <c r="H11" s="111"/>
      <c r="I11" s="111"/>
      <c r="J11" s="111"/>
      <c r="K11" s="111"/>
    </row>
    <row r="12" spans="1:11" ht="30" x14ac:dyDescent="0.25">
      <c r="A12" s="53">
        <v>6</v>
      </c>
      <c r="B12" s="125" t="s">
        <v>121</v>
      </c>
      <c r="C12" s="126">
        <v>2</v>
      </c>
      <c r="D12" s="34">
        <v>150</v>
      </c>
      <c r="E12" s="34">
        <v>150</v>
      </c>
      <c r="F12" s="61"/>
      <c r="G12" s="58"/>
      <c r="H12" s="111"/>
      <c r="I12" s="111"/>
      <c r="J12" s="111"/>
      <c r="K12" s="111"/>
    </row>
    <row r="13" spans="1:11" ht="15" x14ac:dyDescent="0.25">
      <c r="A13" s="53">
        <v>7</v>
      </c>
      <c r="B13" s="125" t="s">
        <v>122</v>
      </c>
      <c r="C13" s="126">
        <v>4</v>
      </c>
      <c r="D13" s="34">
        <v>250</v>
      </c>
      <c r="E13" s="34">
        <v>250</v>
      </c>
      <c r="F13" s="61"/>
      <c r="G13" s="58"/>
      <c r="H13" s="111"/>
      <c r="I13" s="111"/>
      <c r="J13" s="111"/>
      <c r="K13" s="111"/>
    </row>
    <row r="14" spans="1:11" ht="15" x14ac:dyDescent="0.25">
      <c r="A14" s="53">
        <v>8</v>
      </c>
      <c r="B14" s="125" t="s">
        <v>123</v>
      </c>
      <c r="C14" s="126">
        <v>5</v>
      </c>
      <c r="D14" s="34">
        <v>100</v>
      </c>
      <c r="E14" s="34">
        <v>100</v>
      </c>
      <c r="F14" s="61"/>
      <c r="G14" s="58"/>
      <c r="H14" s="111"/>
      <c r="I14" s="111"/>
      <c r="J14" s="111"/>
      <c r="K14" s="111"/>
    </row>
    <row r="15" spans="1:11" ht="15" x14ac:dyDescent="0.25">
      <c r="A15" s="53">
        <v>9</v>
      </c>
      <c r="B15" s="125" t="s">
        <v>124</v>
      </c>
      <c r="C15" s="126">
        <v>5</v>
      </c>
      <c r="D15" s="6">
        <v>150</v>
      </c>
      <c r="E15" s="6">
        <v>150</v>
      </c>
      <c r="F15" s="61"/>
      <c r="G15" s="58"/>
      <c r="H15" s="111"/>
      <c r="I15" s="111"/>
      <c r="J15" s="111"/>
      <c r="K15" s="111"/>
    </row>
    <row r="16" spans="1:11" ht="16.5" customHeight="1" x14ac:dyDescent="0.25">
      <c r="A16" s="53">
        <v>10</v>
      </c>
      <c r="B16" s="125" t="s">
        <v>125</v>
      </c>
      <c r="C16" s="126">
        <v>5</v>
      </c>
      <c r="D16" s="6">
        <v>100</v>
      </c>
      <c r="E16" s="6">
        <v>100</v>
      </c>
      <c r="F16" s="61"/>
      <c r="G16" s="58"/>
      <c r="H16" s="111"/>
      <c r="I16" s="111"/>
      <c r="J16" s="111"/>
      <c r="K16" s="111"/>
    </row>
    <row r="17" spans="1:11" ht="15" customHeight="1" x14ac:dyDescent="0.25">
      <c r="A17" s="53">
        <v>11</v>
      </c>
      <c r="B17" s="125" t="s">
        <v>126</v>
      </c>
      <c r="C17" s="126">
        <v>1</v>
      </c>
      <c r="D17" s="6">
        <v>100</v>
      </c>
      <c r="E17" s="6">
        <v>100</v>
      </c>
      <c r="F17" s="60"/>
      <c r="G17" s="58"/>
      <c r="H17" s="111"/>
      <c r="I17" s="111"/>
      <c r="J17" s="111"/>
      <c r="K17" s="111"/>
    </row>
    <row r="18" spans="1:11" ht="15" x14ac:dyDescent="0.25">
      <c r="A18" s="53">
        <v>12</v>
      </c>
      <c r="B18" s="62"/>
      <c r="C18" s="53"/>
      <c r="D18" s="6"/>
      <c r="E18" s="6"/>
      <c r="F18" s="60"/>
      <c r="G18" s="58"/>
      <c r="H18" s="111"/>
      <c r="I18" s="111"/>
      <c r="J18" s="111"/>
      <c r="K18" s="111"/>
    </row>
    <row r="19" spans="1:11" ht="15" x14ac:dyDescent="0.25">
      <c r="A19" s="53">
        <v>13</v>
      </c>
      <c r="B19" s="62"/>
      <c r="C19" s="53"/>
      <c r="D19" s="6"/>
      <c r="E19" s="6"/>
      <c r="F19" s="57"/>
      <c r="G19" s="59"/>
      <c r="H19" s="111"/>
      <c r="I19" s="111"/>
      <c r="J19" s="111"/>
      <c r="K19" s="111"/>
    </row>
    <row r="20" spans="1:11" ht="15" x14ac:dyDescent="0.25">
      <c r="A20" s="53">
        <v>14</v>
      </c>
      <c r="B20"/>
      <c r="C20" s="53"/>
      <c r="D20" s="58"/>
      <c r="E20" s="58"/>
      <c r="F20" s="57"/>
      <c r="G20" s="55"/>
      <c r="H20" s="111"/>
      <c r="I20" s="111"/>
      <c r="J20" s="111"/>
      <c r="K20" s="111"/>
    </row>
    <row r="21" spans="1:11" ht="15" x14ac:dyDescent="0.25">
      <c r="A21" s="53">
        <v>15</v>
      </c>
      <c r="B21" s="62"/>
      <c r="C21" s="53"/>
      <c r="D21" s="59"/>
      <c r="E21" s="59"/>
      <c r="F21" s="57"/>
      <c r="G21" s="55"/>
      <c r="H21" s="111"/>
      <c r="I21" s="111"/>
      <c r="J21" s="113"/>
      <c r="K21" s="111"/>
    </row>
    <row r="22" spans="1:11" ht="15" x14ac:dyDescent="0.25">
      <c r="A22" s="53">
        <v>16</v>
      </c>
      <c r="B22" s="62"/>
      <c r="C22" s="53"/>
      <c r="D22" s="59"/>
      <c r="E22" s="59"/>
      <c r="F22" s="57"/>
      <c r="G22" s="55"/>
      <c r="H22" s="111"/>
      <c r="I22" s="111"/>
      <c r="J22" s="113"/>
      <c r="K22" s="111"/>
    </row>
    <row r="23" spans="1:11" ht="15" x14ac:dyDescent="0.25">
      <c r="A23" s="53">
        <v>17</v>
      </c>
      <c r="B23" s="62"/>
      <c r="C23" s="53"/>
      <c r="D23" s="59"/>
      <c r="E23" s="59"/>
      <c r="F23" s="57"/>
      <c r="G23" s="55"/>
      <c r="H23" s="111"/>
      <c r="I23" s="111"/>
      <c r="J23" s="113"/>
      <c r="K23" s="111"/>
    </row>
    <row r="24" spans="1:11" ht="15" x14ac:dyDescent="0.25">
      <c r="A24" s="53">
        <v>18</v>
      </c>
      <c r="B24" s="62"/>
      <c r="C24" s="53"/>
      <c r="D24" s="59"/>
      <c r="E24" s="59"/>
      <c r="F24" s="57"/>
      <c r="G24" s="55"/>
      <c r="H24" s="111"/>
      <c r="I24" s="111"/>
      <c r="J24" s="113"/>
      <c r="K24" s="111"/>
    </row>
    <row r="25" spans="1:11" ht="15" x14ac:dyDescent="0.25">
      <c r="A25" s="53">
        <v>19</v>
      </c>
      <c r="B25" s="62"/>
      <c r="C25" s="53"/>
      <c r="D25" s="59"/>
      <c r="E25" s="59"/>
      <c r="F25" s="57"/>
      <c r="G25" s="55"/>
      <c r="H25" s="111"/>
      <c r="I25" s="111"/>
      <c r="J25" s="113"/>
      <c r="K25" s="111"/>
    </row>
    <row r="26" spans="1:11" ht="15" x14ac:dyDescent="0.25">
      <c r="A26" s="53">
        <v>20</v>
      </c>
      <c r="B26" s="62"/>
      <c r="C26" s="53"/>
      <c r="D26" s="59"/>
      <c r="E26" s="59"/>
      <c r="F26" s="57"/>
      <c r="G26" s="55"/>
      <c r="H26" s="111"/>
      <c r="I26" s="111"/>
      <c r="J26" s="113"/>
      <c r="K26" s="111"/>
    </row>
    <row r="27" spans="1:11" ht="15" x14ac:dyDescent="0.25">
      <c r="A27" s="53">
        <v>21</v>
      </c>
      <c r="B27" s="62"/>
      <c r="C27" s="53"/>
      <c r="D27" s="59"/>
      <c r="E27" s="59"/>
      <c r="F27" s="57"/>
      <c r="G27" s="55"/>
      <c r="H27" s="111"/>
      <c r="I27" s="111"/>
      <c r="J27" s="113"/>
      <c r="K27" s="111"/>
    </row>
    <row r="28" spans="1:11" x14ac:dyDescent="0.2">
      <c r="A28" s="53">
        <v>22</v>
      </c>
      <c r="B28" s="55"/>
      <c r="C28" s="53"/>
      <c r="D28" s="6"/>
      <c r="E28" s="55"/>
      <c r="F28" s="55"/>
      <c r="G28" s="55"/>
      <c r="H28" s="111"/>
      <c r="I28" s="111"/>
      <c r="J28" s="111"/>
      <c r="K28" s="111"/>
    </row>
    <row r="29" spans="1:11" x14ac:dyDescent="0.2">
      <c r="A29" s="53">
        <v>23</v>
      </c>
      <c r="B29" s="55"/>
      <c r="C29" s="53"/>
      <c r="D29" s="55"/>
      <c r="E29" s="55"/>
      <c r="F29" s="55"/>
      <c r="G29" s="55"/>
      <c r="H29" s="111"/>
      <c r="I29" s="111"/>
      <c r="J29" s="111"/>
      <c r="K29" s="111"/>
    </row>
    <row r="30" spans="1:11" x14ac:dyDescent="0.2">
      <c r="A30" s="53">
        <v>24</v>
      </c>
      <c r="B30" s="55"/>
      <c r="C30" s="53"/>
      <c r="D30" s="6"/>
      <c r="E30" s="6"/>
      <c r="F30" s="55"/>
      <c r="G30" s="55"/>
    </row>
    <row r="31" spans="1:11" x14ac:dyDescent="0.2">
      <c r="A31" s="53">
        <v>25</v>
      </c>
      <c r="B31" s="55"/>
      <c r="C31" s="53"/>
      <c r="D31" s="6"/>
      <c r="E31" s="6"/>
      <c r="F31" s="55"/>
      <c r="G31" s="55"/>
    </row>
    <row r="32" spans="1:11" x14ac:dyDescent="0.2">
      <c r="A32" s="53">
        <v>26</v>
      </c>
      <c r="B32" s="55"/>
      <c r="C32" s="53"/>
      <c r="D32" s="55"/>
      <c r="E32" s="55"/>
      <c r="F32" s="55"/>
      <c r="G32" s="55"/>
    </row>
    <row r="33" spans="1:7" x14ac:dyDescent="0.2">
      <c r="A33" s="53">
        <v>27</v>
      </c>
      <c r="B33" s="55"/>
      <c r="C33" s="53"/>
      <c r="D33" s="55"/>
      <c r="E33" s="55"/>
      <c r="F33" s="55"/>
      <c r="G33" s="55"/>
    </row>
    <row r="34" spans="1:7" x14ac:dyDescent="0.2">
      <c r="A34" s="53">
        <v>28</v>
      </c>
      <c r="B34" s="55"/>
      <c r="C34" s="53"/>
      <c r="D34" s="55"/>
      <c r="E34" s="55"/>
      <c r="F34" s="55"/>
      <c r="G34" s="55"/>
    </row>
    <row r="35" spans="1:7" x14ac:dyDescent="0.2">
      <c r="D35" s="6">
        <f>SUM(D7:D34)</f>
        <v>14942</v>
      </c>
      <c r="E35" s="6">
        <f>SUM(E7:E34)</f>
        <v>14942</v>
      </c>
    </row>
    <row r="38" spans="1:7" x14ac:dyDescent="0.2">
      <c r="B38" s="4">
        <v>70</v>
      </c>
      <c r="C38" s="117" t="s">
        <v>116</v>
      </c>
    </row>
    <row r="39" spans="1:7" x14ac:dyDescent="0.2">
      <c r="B39" s="4">
        <v>30</v>
      </c>
      <c r="C39" s="117" t="s">
        <v>117</v>
      </c>
    </row>
    <row r="40" spans="1:7" x14ac:dyDescent="0.2">
      <c r="B40" s="4">
        <v>1</v>
      </c>
      <c r="C40" s="117" t="s">
        <v>118</v>
      </c>
    </row>
    <row r="41" spans="1:7" x14ac:dyDescent="0.2">
      <c r="B41" s="4">
        <v>8</v>
      </c>
      <c r="C41" s="117" t="s">
        <v>119</v>
      </c>
    </row>
    <row r="42" spans="1:7" x14ac:dyDescent="0.2">
      <c r="B42" s="4">
        <v>2</v>
      </c>
      <c r="C42" s="117" t="s">
        <v>120</v>
      </c>
    </row>
    <row r="43" spans="1:7" x14ac:dyDescent="0.2">
      <c r="B43" s="4">
        <v>2</v>
      </c>
      <c r="C43" s="117" t="s">
        <v>121</v>
      </c>
    </row>
    <row r="44" spans="1:7" x14ac:dyDescent="0.2">
      <c r="B44" s="4">
        <v>4</v>
      </c>
      <c r="C44" s="117" t="s">
        <v>122</v>
      </c>
    </row>
    <row r="45" spans="1:7" x14ac:dyDescent="0.2">
      <c r="B45" s="4">
        <v>5</v>
      </c>
      <c r="C45" s="117" t="s">
        <v>123</v>
      </c>
    </row>
    <row r="46" spans="1:7" x14ac:dyDescent="0.2">
      <c r="B46" s="4">
        <v>5</v>
      </c>
      <c r="C46" s="117" t="s">
        <v>124</v>
      </c>
    </row>
    <row r="47" spans="1:7" x14ac:dyDescent="0.2">
      <c r="B47" s="4">
        <v>5</v>
      </c>
      <c r="C47" s="117" t="s">
        <v>125</v>
      </c>
    </row>
    <row r="48" spans="1:7" x14ac:dyDescent="0.2">
      <c r="B48" s="4">
        <v>1</v>
      </c>
      <c r="C48" s="117" t="s">
        <v>126</v>
      </c>
    </row>
  </sheetData>
  <mergeCells count="4">
    <mergeCell ref="A1:B1"/>
    <mergeCell ref="A2:B2"/>
    <mergeCell ref="A3:B3"/>
    <mergeCell ref="A5:G5"/>
  </mergeCells>
  <printOptions horizontalCentered="1"/>
  <pageMargins left="0" right="0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9"/>
  <sheetViews>
    <sheetView workbookViewId="0">
      <selection activeCell="I35" sqref="I35"/>
    </sheetView>
  </sheetViews>
  <sheetFormatPr baseColWidth="10" defaultColWidth="11.42578125" defaultRowHeight="12.75" x14ac:dyDescent="0.2"/>
  <cols>
    <col min="1" max="1" width="3.42578125" style="4" bestFit="1" customWidth="1"/>
    <col min="2" max="2" width="19.42578125" style="4" bestFit="1" customWidth="1"/>
    <col min="3" max="4" width="11" style="4" bestFit="1" customWidth="1"/>
    <col min="5" max="5" width="10.85546875" style="4" bestFit="1" customWidth="1"/>
    <col min="6" max="6" width="43.85546875" style="4" bestFit="1" customWidth="1"/>
    <col min="7" max="16384" width="11.42578125" style="4"/>
  </cols>
  <sheetData>
    <row r="1" spans="1:7" ht="15" customHeight="1" x14ac:dyDescent="0.2">
      <c r="A1" s="153" t="s">
        <v>24</v>
      </c>
      <c r="B1" s="153"/>
      <c r="C1" s="34">
        <v>4800</v>
      </c>
      <c r="D1" s="42"/>
    </row>
    <row r="2" spans="1:7" ht="15" customHeight="1" x14ac:dyDescent="0.2">
      <c r="A2" s="153" t="s">
        <v>25</v>
      </c>
      <c r="B2" s="153"/>
      <c r="C2" s="6">
        <f>D29</f>
        <v>4800</v>
      </c>
      <c r="D2" s="43"/>
    </row>
    <row r="3" spans="1:7" ht="15" customHeight="1" x14ac:dyDescent="0.2">
      <c r="A3" s="153" t="s">
        <v>26</v>
      </c>
      <c r="B3" s="153"/>
      <c r="C3" s="6"/>
      <c r="D3" s="43"/>
    </row>
    <row r="5" spans="1:7" x14ac:dyDescent="0.2">
      <c r="A5" s="154" t="s">
        <v>57</v>
      </c>
      <c r="B5" s="154"/>
      <c r="C5" s="154"/>
      <c r="D5" s="154"/>
      <c r="E5" s="154"/>
      <c r="F5" s="154"/>
    </row>
    <row r="6" spans="1:7" s="51" customFormat="1" x14ac:dyDescent="0.25">
      <c r="A6" s="52" t="s">
        <v>41</v>
      </c>
      <c r="B6" s="52" t="s">
        <v>42</v>
      </c>
      <c r="C6" s="52" t="s">
        <v>43</v>
      </c>
      <c r="D6" s="52" t="s">
        <v>44</v>
      </c>
      <c r="E6" s="52" t="s">
        <v>45</v>
      </c>
      <c r="F6" s="52" t="s">
        <v>46</v>
      </c>
    </row>
    <row r="7" spans="1:7" ht="15" x14ac:dyDescent="0.25">
      <c r="A7" s="53">
        <v>1</v>
      </c>
      <c r="B7" s="76" t="s">
        <v>52</v>
      </c>
      <c r="C7" s="53">
        <v>1</v>
      </c>
      <c r="D7" s="20">
        <v>800</v>
      </c>
      <c r="E7" s="60"/>
      <c r="F7" s="56"/>
      <c r="G7" s="103"/>
    </row>
    <row r="8" spans="1:7" ht="15" x14ac:dyDescent="0.25">
      <c r="A8" s="53">
        <v>2</v>
      </c>
      <c r="B8" s="76" t="s">
        <v>53</v>
      </c>
      <c r="C8" s="53">
        <v>1</v>
      </c>
      <c r="D8" s="20">
        <v>800</v>
      </c>
      <c r="E8" s="57"/>
      <c r="F8" s="56"/>
      <c r="G8" s="86">
        <v>2000</v>
      </c>
    </row>
    <row r="9" spans="1:7" ht="14.25" customHeight="1" x14ac:dyDescent="0.25">
      <c r="A9" s="53">
        <v>3</v>
      </c>
      <c r="B9" s="76" t="s">
        <v>54</v>
      </c>
      <c r="C9" s="53">
        <v>1</v>
      </c>
      <c r="D9" s="20">
        <v>800</v>
      </c>
      <c r="E9" s="57"/>
      <c r="F9" s="56"/>
      <c r="G9" s="86">
        <v>2000</v>
      </c>
    </row>
    <row r="10" spans="1:7" ht="14.25" customHeight="1" x14ac:dyDescent="0.25">
      <c r="A10" s="53">
        <v>4</v>
      </c>
      <c r="B10" s="76" t="s">
        <v>55</v>
      </c>
      <c r="C10" s="53">
        <v>1</v>
      </c>
      <c r="D10" s="20">
        <v>800</v>
      </c>
      <c r="E10" s="61"/>
      <c r="F10" s="56"/>
      <c r="G10" s="86">
        <v>1000</v>
      </c>
    </row>
    <row r="11" spans="1:7" ht="15" x14ac:dyDescent="0.25">
      <c r="A11" s="53">
        <v>5</v>
      </c>
      <c r="B11" s="76" t="s">
        <v>106</v>
      </c>
      <c r="C11" s="53">
        <v>1</v>
      </c>
      <c r="D11" s="20">
        <v>800</v>
      </c>
      <c r="E11" s="64"/>
      <c r="F11" s="56"/>
      <c r="G11" s="86">
        <v>1500</v>
      </c>
    </row>
    <row r="12" spans="1:7" ht="15" x14ac:dyDescent="0.25">
      <c r="A12" s="53">
        <v>6</v>
      </c>
      <c r="B12" s="76" t="s">
        <v>107</v>
      </c>
      <c r="C12" s="53">
        <v>1</v>
      </c>
      <c r="D12" s="20">
        <v>800</v>
      </c>
      <c r="E12" s="61"/>
      <c r="F12" s="58"/>
      <c r="G12" s="86">
        <v>500</v>
      </c>
    </row>
    <row r="13" spans="1:7" ht="15" x14ac:dyDescent="0.25">
      <c r="A13" s="53">
        <v>7</v>
      </c>
      <c r="B13" s="76"/>
      <c r="C13" s="53"/>
      <c r="D13" s="20"/>
      <c r="E13" s="61"/>
      <c r="F13" s="58"/>
      <c r="G13" s="86">
        <v>500</v>
      </c>
    </row>
    <row r="14" spans="1:7" ht="15" x14ac:dyDescent="0.25">
      <c r="A14" s="53">
        <v>8</v>
      </c>
      <c r="B14" s="76"/>
      <c r="C14" s="53"/>
      <c r="D14" s="20"/>
      <c r="E14" s="61"/>
      <c r="F14" s="58"/>
      <c r="G14" s="86">
        <v>300</v>
      </c>
    </row>
    <row r="15" spans="1:7" x14ac:dyDescent="0.2">
      <c r="A15" s="53">
        <v>9</v>
      </c>
      <c r="B15" s="76"/>
      <c r="C15" s="53"/>
      <c r="D15" s="34"/>
      <c r="E15" s="61"/>
      <c r="F15" s="58"/>
      <c r="G15" s="86">
        <v>1000</v>
      </c>
    </row>
    <row r="16" spans="1:7" x14ac:dyDescent="0.2">
      <c r="A16" s="53">
        <v>10</v>
      </c>
      <c r="B16" s="76"/>
      <c r="C16" s="53"/>
      <c r="D16" s="34"/>
      <c r="E16" s="61"/>
      <c r="F16" s="58"/>
    </row>
    <row r="17" spans="1:6" x14ac:dyDescent="0.2">
      <c r="A17" s="53">
        <v>11</v>
      </c>
      <c r="B17" s="55"/>
      <c r="C17" s="55"/>
      <c r="D17" s="55"/>
      <c r="E17" s="60"/>
      <c r="F17" s="58"/>
    </row>
    <row r="18" spans="1:6" x14ac:dyDescent="0.2">
      <c r="A18" s="53">
        <v>12</v>
      </c>
      <c r="B18" s="55"/>
      <c r="C18" s="55"/>
      <c r="D18" s="55"/>
      <c r="E18" s="60"/>
      <c r="F18" s="58"/>
    </row>
    <row r="19" spans="1:6" ht="15" x14ac:dyDescent="0.25">
      <c r="A19" s="53">
        <v>13</v>
      </c>
      <c r="B19" s="62"/>
      <c r="C19" s="55"/>
      <c r="D19" s="55"/>
      <c r="E19" s="57"/>
      <c r="F19" s="59"/>
    </row>
    <row r="20" spans="1:6" ht="15" x14ac:dyDescent="0.25">
      <c r="A20" s="53">
        <v>14</v>
      </c>
      <c r="B20" s="55"/>
      <c r="C20" s="55"/>
      <c r="D20" s="58"/>
      <c r="E20" s="57"/>
      <c r="F20" s="55"/>
    </row>
    <row r="21" spans="1:6" ht="15" x14ac:dyDescent="0.25">
      <c r="A21" s="53">
        <v>15</v>
      </c>
      <c r="B21" s="62"/>
      <c r="C21" s="55"/>
      <c r="D21" s="59"/>
      <c r="E21" s="57"/>
      <c r="F21" s="55"/>
    </row>
    <row r="22" spans="1:6" x14ac:dyDescent="0.2">
      <c r="A22" s="55"/>
      <c r="B22" s="55"/>
      <c r="C22" s="55"/>
      <c r="D22" s="55"/>
      <c r="E22" s="55"/>
      <c r="F22" s="55"/>
    </row>
    <row r="23" spans="1:6" x14ac:dyDescent="0.2">
      <c r="A23" s="55"/>
      <c r="B23" s="55"/>
      <c r="C23" s="55"/>
      <c r="D23" s="55"/>
      <c r="E23" s="55"/>
      <c r="F23" s="55"/>
    </row>
    <row r="24" spans="1:6" x14ac:dyDescent="0.2">
      <c r="A24" s="55"/>
      <c r="B24" s="55"/>
      <c r="C24" s="55"/>
      <c r="D24" s="6"/>
      <c r="E24" s="55"/>
      <c r="F24" s="55"/>
    </row>
    <row r="25" spans="1:6" x14ac:dyDescent="0.2">
      <c r="A25" s="55"/>
      <c r="B25" s="55"/>
      <c r="C25" s="55"/>
      <c r="D25" s="6"/>
      <c r="E25" s="55"/>
      <c r="F25" s="55"/>
    </row>
    <row r="26" spans="1:6" x14ac:dyDescent="0.2">
      <c r="A26" s="55"/>
      <c r="B26" s="55"/>
      <c r="C26" s="55"/>
      <c r="D26" s="55"/>
      <c r="E26" s="55"/>
      <c r="F26" s="55"/>
    </row>
    <row r="27" spans="1:6" x14ac:dyDescent="0.2">
      <c r="A27" s="55"/>
      <c r="B27" s="55"/>
      <c r="C27" s="55"/>
      <c r="D27" s="55"/>
      <c r="E27" s="55"/>
      <c r="F27" s="55"/>
    </row>
    <row r="28" spans="1:6" x14ac:dyDescent="0.2">
      <c r="A28" s="55"/>
      <c r="B28" s="55"/>
      <c r="C28" s="55"/>
      <c r="D28" s="55"/>
      <c r="E28" s="55"/>
      <c r="F28" s="55"/>
    </row>
    <row r="29" spans="1:6" x14ac:dyDescent="0.2">
      <c r="D29" s="6">
        <f>SUM(D7:D28)</f>
        <v>4800</v>
      </c>
    </row>
  </sheetData>
  <mergeCells count="4">
    <mergeCell ref="A1:B1"/>
    <mergeCell ref="A2:B2"/>
    <mergeCell ref="A3:B3"/>
    <mergeCell ref="A5:F5"/>
  </mergeCells>
  <phoneticPr fontId="18" type="noConversion"/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22"/>
  <sheetViews>
    <sheetView workbookViewId="0">
      <selection activeCell="D23" sqref="D23"/>
    </sheetView>
  </sheetViews>
  <sheetFormatPr baseColWidth="10" defaultColWidth="11.42578125" defaultRowHeight="12.75" x14ac:dyDescent="0.2"/>
  <cols>
    <col min="1" max="1" width="3.5703125" style="4" bestFit="1" customWidth="1"/>
    <col min="2" max="2" width="13.85546875" style="4" bestFit="1" customWidth="1"/>
    <col min="3" max="3" width="12" style="4" bestFit="1" customWidth="1"/>
    <col min="4" max="4" width="42.42578125" style="4" bestFit="1" customWidth="1"/>
    <col min="5" max="16384" width="11.42578125" style="4"/>
  </cols>
  <sheetData>
    <row r="1" spans="1:4" ht="15" customHeight="1" x14ac:dyDescent="0.2">
      <c r="A1" s="153" t="s">
        <v>24</v>
      </c>
      <c r="B1" s="153"/>
      <c r="C1" s="34">
        <v>1500</v>
      </c>
    </row>
    <row r="2" spans="1:4" ht="15" customHeight="1" x14ac:dyDescent="0.2">
      <c r="A2" s="153" t="s">
        <v>25</v>
      </c>
      <c r="B2" s="153"/>
      <c r="C2" s="6">
        <f>C22</f>
        <v>1500</v>
      </c>
    </row>
    <row r="3" spans="1:4" ht="15" customHeight="1" x14ac:dyDescent="0.2">
      <c r="A3" s="153" t="s">
        <v>26</v>
      </c>
      <c r="B3" s="153"/>
      <c r="C3" s="6"/>
    </row>
    <row r="5" spans="1:4" ht="15" customHeight="1" x14ac:dyDescent="0.2">
      <c r="A5" s="155" t="s">
        <v>47</v>
      </c>
      <c r="B5" s="155"/>
      <c r="C5" s="155"/>
      <c r="D5" s="155"/>
    </row>
    <row r="6" spans="1:4" x14ac:dyDescent="0.2">
      <c r="A6" s="70" t="s">
        <v>41</v>
      </c>
      <c r="B6" s="83" t="s">
        <v>45</v>
      </c>
      <c r="C6" s="70" t="s">
        <v>48</v>
      </c>
      <c r="D6" s="70" t="s">
        <v>49</v>
      </c>
    </row>
    <row r="7" spans="1:4" x14ac:dyDescent="0.2">
      <c r="A7" s="4">
        <v>1</v>
      </c>
      <c r="B7" s="40"/>
      <c r="C7" s="41">
        <v>1500</v>
      </c>
      <c r="D7" s="41"/>
    </row>
    <row r="8" spans="1:4" x14ac:dyDescent="0.2">
      <c r="A8" s="4">
        <v>2</v>
      </c>
      <c r="B8" s="40"/>
      <c r="C8" s="41"/>
      <c r="D8" s="41"/>
    </row>
    <row r="9" spans="1:4" x14ac:dyDescent="0.2">
      <c r="A9" s="4">
        <v>3</v>
      </c>
      <c r="B9" s="40"/>
      <c r="C9" s="41"/>
      <c r="D9" s="41"/>
    </row>
    <row r="10" spans="1:4" x14ac:dyDescent="0.2">
      <c r="A10" s="4">
        <v>4</v>
      </c>
      <c r="B10" s="40"/>
      <c r="C10" s="41"/>
      <c r="D10" s="41"/>
    </row>
    <row r="11" spans="1:4" x14ac:dyDescent="0.2">
      <c r="A11" s="4">
        <v>5</v>
      </c>
      <c r="B11" s="40"/>
      <c r="C11" s="41"/>
      <c r="D11" s="41"/>
    </row>
    <row r="12" spans="1:4" x14ac:dyDescent="0.2">
      <c r="A12" s="4">
        <v>6</v>
      </c>
      <c r="B12" s="40"/>
      <c r="C12" s="41"/>
      <c r="D12" s="41"/>
    </row>
    <row r="13" spans="1:4" x14ac:dyDescent="0.2">
      <c r="A13" s="4">
        <v>7</v>
      </c>
      <c r="B13" s="40"/>
      <c r="C13" s="41"/>
      <c r="D13" s="41"/>
    </row>
    <row r="14" spans="1:4" x14ac:dyDescent="0.2">
      <c r="A14" s="4">
        <v>8</v>
      </c>
      <c r="B14" s="40"/>
      <c r="C14" s="41"/>
      <c r="D14" s="41"/>
    </row>
    <row r="15" spans="1:4" x14ac:dyDescent="0.2">
      <c r="A15" s="4">
        <v>9</v>
      </c>
      <c r="B15" s="40"/>
      <c r="C15" s="41"/>
      <c r="D15" s="41"/>
    </row>
    <row r="16" spans="1:4" x14ac:dyDescent="0.2">
      <c r="A16" s="4">
        <v>10</v>
      </c>
      <c r="B16" s="40"/>
      <c r="C16" s="41"/>
      <c r="D16" s="41"/>
    </row>
    <row r="17" spans="1:4" x14ac:dyDescent="0.2">
      <c r="A17" s="4">
        <v>11</v>
      </c>
      <c r="B17" s="40"/>
      <c r="C17" s="41"/>
      <c r="D17" s="41"/>
    </row>
    <row r="18" spans="1:4" x14ac:dyDescent="0.2">
      <c r="A18" s="4">
        <v>12</v>
      </c>
      <c r="B18" s="40"/>
      <c r="C18" s="41"/>
      <c r="D18" s="41"/>
    </row>
    <row r="19" spans="1:4" x14ac:dyDescent="0.2">
      <c r="A19" s="4">
        <v>13</v>
      </c>
      <c r="B19" s="40"/>
      <c r="C19" s="41"/>
      <c r="D19" s="41"/>
    </row>
    <row r="20" spans="1:4" x14ac:dyDescent="0.2">
      <c r="A20" s="4">
        <v>14</v>
      </c>
      <c r="B20" s="40"/>
      <c r="C20" s="41"/>
      <c r="D20" s="41"/>
    </row>
    <row r="21" spans="1:4" x14ac:dyDescent="0.2">
      <c r="A21" s="4">
        <v>15</v>
      </c>
      <c r="B21" s="40"/>
      <c r="C21" s="41"/>
      <c r="D21" s="41"/>
    </row>
    <row r="22" spans="1:4" x14ac:dyDescent="0.2">
      <c r="C22" s="6">
        <f>SUM(C7:C21)</f>
        <v>1500</v>
      </c>
    </row>
  </sheetData>
  <mergeCells count="4">
    <mergeCell ref="A5:D5"/>
    <mergeCell ref="A1:B1"/>
    <mergeCell ref="A2:B2"/>
    <mergeCell ref="A3:B3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4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15.85546875" bestFit="1" customWidth="1"/>
    <col min="2" max="2" width="11.5703125" bestFit="1" customWidth="1"/>
  </cols>
  <sheetData>
    <row r="1" spans="1:2" x14ac:dyDescent="0.25">
      <c r="A1" s="30" t="s">
        <v>24</v>
      </c>
      <c r="B1" s="20">
        <v>400</v>
      </c>
    </row>
    <row r="2" spans="1:2" x14ac:dyDescent="0.25">
      <c r="A2" s="30" t="s">
        <v>25</v>
      </c>
      <c r="B2" s="31">
        <f>B14</f>
        <v>400</v>
      </c>
    </row>
    <row r="3" spans="1:2" x14ac:dyDescent="0.25">
      <c r="A3" s="30" t="s">
        <v>26</v>
      </c>
      <c r="B3" s="31">
        <f>B1-B2</f>
        <v>0</v>
      </c>
    </row>
    <row r="5" spans="1:2" x14ac:dyDescent="0.25">
      <c r="A5" s="156" t="s">
        <v>50</v>
      </c>
      <c r="B5" s="156"/>
    </row>
    <row r="6" spans="1:2" x14ac:dyDescent="0.25">
      <c r="A6" s="84" t="s">
        <v>45</v>
      </c>
      <c r="B6" s="71" t="s">
        <v>48</v>
      </c>
    </row>
    <row r="7" spans="1:2" x14ac:dyDescent="0.25">
      <c r="A7" s="32"/>
      <c r="B7" s="33">
        <v>400</v>
      </c>
    </row>
    <row r="8" spans="1:2" x14ac:dyDescent="0.25">
      <c r="A8" s="32"/>
      <c r="B8" s="33"/>
    </row>
    <row r="9" spans="1:2" x14ac:dyDescent="0.25">
      <c r="A9" s="32"/>
      <c r="B9" s="33"/>
    </row>
    <row r="10" spans="1:2" x14ac:dyDescent="0.25">
      <c r="A10" s="32"/>
      <c r="B10" s="33"/>
    </row>
    <row r="11" spans="1:2" x14ac:dyDescent="0.25">
      <c r="A11" s="32"/>
      <c r="B11" s="33"/>
    </row>
    <row r="12" spans="1:2" x14ac:dyDescent="0.25">
      <c r="A12" s="32"/>
      <c r="B12" s="33"/>
    </row>
    <row r="13" spans="1:2" x14ac:dyDescent="0.25">
      <c r="A13" s="32"/>
      <c r="B13" s="33"/>
    </row>
    <row r="14" spans="1:2" x14ac:dyDescent="0.25">
      <c r="A14" s="84" t="s">
        <v>38</v>
      </c>
      <c r="B14" s="12">
        <f>SUM(B7:B13)</f>
        <v>400</v>
      </c>
    </row>
  </sheetData>
  <mergeCells count="1">
    <mergeCell ref="A5:B5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14"/>
  <sheetViews>
    <sheetView topLeftCell="B1" workbookViewId="0">
      <selection activeCell="F26" sqref="F26"/>
    </sheetView>
  </sheetViews>
  <sheetFormatPr baseColWidth="10" defaultColWidth="11.42578125" defaultRowHeight="12" x14ac:dyDescent="0.2"/>
  <cols>
    <col min="1" max="1" width="17.140625" style="65" bestFit="1" customWidth="1"/>
    <col min="2" max="2" width="9.85546875" style="65" bestFit="1" customWidth="1"/>
    <col min="3" max="31" width="7.7109375" style="65" bestFit="1" customWidth="1"/>
    <col min="32" max="32" width="7.7109375" style="65" customWidth="1"/>
    <col min="33" max="33" width="7.7109375" style="65" bestFit="1" customWidth="1"/>
    <col min="34" max="16384" width="11.42578125" style="65"/>
  </cols>
  <sheetData>
    <row r="1" spans="1:34" x14ac:dyDescent="0.2">
      <c r="A1" s="66" t="s">
        <v>24</v>
      </c>
      <c r="B1" s="67">
        <v>2000</v>
      </c>
    </row>
    <row r="2" spans="1:34" x14ac:dyDescent="0.2">
      <c r="A2" s="66" t="s">
        <v>25</v>
      </c>
      <c r="B2" s="68">
        <f>AH14</f>
        <v>2000</v>
      </c>
    </row>
    <row r="3" spans="1:34" x14ac:dyDescent="0.2">
      <c r="A3" s="66" t="s">
        <v>26</v>
      </c>
      <c r="B3" s="68">
        <f>B1-B2</f>
        <v>0</v>
      </c>
    </row>
    <row r="4" spans="1:34" x14ac:dyDescent="0.2">
      <c r="A4" s="73"/>
      <c r="B4" s="72"/>
    </row>
    <row r="5" spans="1:34" ht="12.75" x14ac:dyDescent="0.2">
      <c r="C5" s="148" t="s">
        <v>111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21"/>
    </row>
    <row r="6" spans="1:34" ht="12.75" x14ac:dyDescent="0.2">
      <c r="C6" s="122" t="s">
        <v>105</v>
      </c>
      <c r="D6" s="122" t="s">
        <v>99</v>
      </c>
      <c r="E6" s="122" t="s">
        <v>100</v>
      </c>
      <c r="F6" s="122" t="s">
        <v>101</v>
      </c>
      <c r="G6" s="122" t="s">
        <v>102</v>
      </c>
      <c r="H6" s="122" t="s">
        <v>103</v>
      </c>
      <c r="I6" s="122" t="s">
        <v>104</v>
      </c>
      <c r="J6" s="122" t="s">
        <v>105</v>
      </c>
      <c r="K6" s="122" t="s">
        <v>99</v>
      </c>
      <c r="L6" s="122" t="s">
        <v>100</v>
      </c>
      <c r="M6" s="122" t="s">
        <v>101</v>
      </c>
      <c r="N6" s="122" t="s">
        <v>102</v>
      </c>
      <c r="O6" s="122" t="s">
        <v>103</v>
      </c>
      <c r="P6" s="122" t="s">
        <v>104</v>
      </c>
      <c r="Q6" s="122" t="s">
        <v>105</v>
      </c>
      <c r="R6" s="122" t="s">
        <v>99</v>
      </c>
      <c r="S6" s="122" t="s">
        <v>100</v>
      </c>
      <c r="T6" s="122" t="s">
        <v>101</v>
      </c>
      <c r="U6" s="122" t="s">
        <v>102</v>
      </c>
      <c r="V6" s="122" t="s">
        <v>103</v>
      </c>
      <c r="W6" s="122" t="s">
        <v>104</v>
      </c>
      <c r="X6" s="122" t="s">
        <v>105</v>
      </c>
      <c r="Y6" s="122" t="s">
        <v>99</v>
      </c>
      <c r="Z6" s="122" t="s">
        <v>100</v>
      </c>
      <c r="AA6" s="122" t="s">
        <v>101</v>
      </c>
      <c r="AB6" s="122" t="s">
        <v>102</v>
      </c>
      <c r="AC6" s="122" t="s">
        <v>103</v>
      </c>
      <c r="AD6" s="122" t="s">
        <v>104</v>
      </c>
      <c r="AE6" s="122" t="s">
        <v>105</v>
      </c>
      <c r="AF6" s="122" t="s">
        <v>99</v>
      </c>
      <c r="AG6" s="122" t="s">
        <v>100</v>
      </c>
      <c r="AH6" s="52"/>
    </row>
    <row r="7" spans="1:34" x14ac:dyDescent="0.2">
      <c r="A7" s="35" t="s">
        <v>28</v>
      </c>
      <c r="B7" s="36" t="s">
        <v>51</v>
      </c>
      <c r="C7" s="105">
        <v>46023</v>
      </c>
      <c r="D7" s="105">
        <v>46024</v>
      </c>
      <c r="E7" s="105">
        <v>46025</v>
      </c>
      <c r="F7" s="105">
        <v>46026</v>
      </c>
      <c r="G7" s="105">
        <v>46027</v>
      </c>
      <c r="H7" s="105">
        <v>46028</v>
      </c>
      <c r="I7" s="105">
        <v>46029</v>
      </c>
      <c r="J7" s="105">
        <v>46030</v>
      </c>
      <c r="K7" s="105">
        <v>46031</v>
      </c>
      <c r="L7" s="105">
        <v>46032</v>
      </c>
      <c r="M7" s="105">
        <v>46033</v>
      </c>
      <c r="N7" s="105">
        <v>46034</v>
      </c>
      <c r="O7" s="105">
        <v>46035</v>
      </c>
      <c r="P7" s="105">
        <v>46036</v>
      </c>
      <c r="Q7" s="105">
        <v>46037</v>
      </c>
      <c r="R7" s="105">
        <v>46038</v>
      </c>
      <c r="S7" s="105">
        <v>46039</v>
      </c>
      <c r="T7" s="105">
        <v>46040</v>
      </c>
      <c r="U7" s="105">
        <v>46041</v>
      </c>
      <c r="V7" s="105">
        <v>46042</v>
      </c>
      <c r="W7" s="105">
        <v>46043</v>
      </c>
      <c r="X7" s="105">
        <v>46044</v>
      </c>
      <c r="Y7" s="105">
        <v>46045</v>
      </c>
      <c r="Z7" s="105">
        <v>46046</v>
      </c>
      <c r="AA7" s="105">
        <v>46047</v>
      </c>
      <c r="AB7" s="105">
        <v>46048</v>
      </c>
      <c r="AC7" s="105">
        <v>46049</v>
      </c>
      <c r="AD7" s="105">
        <v>46050</v>
      </c>
      <c r="AE7" s="105">
        <v>46051</v>
      </c>
      <c r="AF7" s="105">
        <v>46052</v>
      </c>
      <c r="AG7" s="105">
        <v>46053</v>
      </c>
      <c r="AH7" s="105"/>
    </row>
    <row r="8" spans="1:34" ht="12.75" x14ac:dyDescent="0.2">
      <c r="A8" s="76" t="s">
        <v>52</v>
      </c>
      <c r="B8" s="67">
        <v>100</v>
      </c>
      <c r="C8" s="67">
        <v>100</v>
      </c>
      <c r="D8" s="67">
        <v>100</v>
      </c>
      <c r="E8" s="67">
        <v>100</v>
      </c>
      <c r="F8" s="67">
        <v>100</v>
      </c>
      <c r="G8" s="67">
        <v>100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88">
        <f>SUM(C8:AG8)</f>
        <v>500</v>
      </c>
    </row>
    <row r="9" spans="1:34" ht="12.75" x14ac:dyDescent="0.2">
      <c r="A9" s="76" t="s">
        <v>53</v>
      </c>
      <c r="B9" s="67">
        <v>100</v>
      </c>
      <c r="C9" s="67">
        <v>100</v>
      </c>
      <c r="D9" s="67">
        <v>100</v>
      </c>
      <c r="E9" s="67">
        <v>100</v>
      </c>
      <c r="F9" s="67">
        <v>100</v>
      </c>
      <c r="G9" s="67">
        <v>100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88">
        <f t="shared" ref="AH9:AH13" si="0">SUM(C9:AG9)</f>
        <v>500</v>
      </c>
    </row>
    <row r="10" spans="1:34" ht="12.75" x14ac:dyDescent="0.2">
      <c r="A10" s="76" t="s">
        <v>54</v>
      </c>
      <c r="B10" s="67">
        <v>100</v>
      </c>
      <c r="C10" s="67">
        <v>100</v>
      </c>
      <c r="D10" s="67">
        <v>100</v>
      </c>
      <c r="E10" s="67">
        <v>100</v>
      </c>
      <c r="F10" s="67">
        <v>100</v>
      </c>
      <c r="G10" s="67">
        <v>100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88">
        <f t="shared" si="0"/>
        <v>500</v>
      </c>
    </row>
    <row r="11" spans="1:34" ht="12.75" x14ac:dyDescent="0.2">
      <c r="A11" s="76" t="s">
        <v>55</v>
      </c>
      <c r="B11" s="67">
        <v>100</v>
      </c>
      <c r="C11" s="67">
        <v>100</v>
      </c>
      <c r="D11" s="67">
        <v>100</v>
      </c>
      <c r="E11" s="67">
        <v>100</v>
      </c>
      <c r="F11" s="67">
        <v>100</v>
      </c>
      <c r="G11" s="67">
        <v>100</v>
      </c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88">
        <f t="shared" si="0"/>
        <v>500</v>
      </c>
    </row>
    <row r="12" spans="1:34" ht="12.75" x14ac:dyDescent="0.2">
      <c r="A12" s="76" t="s">
        <v>106</v>
      </c>
      <c r="B12" s="67">
        <v>100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88">
        <f t="shared" si="0"/>
        <v>0</v>
      </c>
    </row>
    <row r="13" spans="1:34" ht="12.75" x14ac:dyDescent="0.2">
      <c r="A13" s="76" t="s">
        <v>107</v>
      </c>
      <c r="B13" s="67">
        <v>100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88">
        <f t="shared" si="0"/>
        <v>0</v>
      </c>
    </row>
    <row r="14" spans="1:34" x14ac:dyDescent="0.2">
      <c r="AH14" s="80">
        <f>SUM(AH8:AH13)</f>
        <v>2000</v>
      </c>
    </row>
  </sheetData>
  <mergeCells count="1">
    <mergeCell ref="C5:AG5"/>
  </mergeCells>
  <phoneticPr fontId="18" type="noConversion"/>
  <printOptions horizontalCentered="1"/>
  <pageMargins left="0" right="0" top="0.74803149606299213" bottom="0.74803149606299213" header="0.31496062992125984" footer="0.31496062992125984"/>
  <pageSetup scale="6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23"/>
  <sheetViews>
    <sheetView workbookViewId="0">
      <selection activeCell="E19" sqref="E19"/>
    </sheetView>
  </sheetViews>
  <sheetFormatPr baseColWidth="10" defaultColWidth="11.42578125" defaultRowHeight="15" x14ac:dyDescent="0.25"/>
  <cols>
    <col min="1" max="1" width="15.85546875" bestFit="1" customWidth="1"/>
    <col min="2" max="2" width="11.5703125" bestFit="1" customWidth="1"/>
  </cols>
  <sheetData>
    <row r="1" spans="1:2" x14ac:dyDescent="0.25">
      <c r="A1" s="30" t="s">
        <v>24</v>
      </c>
      <c r="B1" s="20">
        <v>350</v>
      </c>
    </row>
    <row r="2" spans="1:2" x14ac:dyDescent="0.25">
      <c r="A2" s="30" t="s">
        <v>25</v>
      </c>
      <c r="B2" s="31">
        <f>B14</f>
        <v>350</v>
      </c>
    </row>
    <row r="3" spans="1:2" x14ac:dyDescent="0.25">
      <c r="A3" s="30" t="s">
        <v>26</v>
      </c>
      <c r="B3" s="31">
        <f>B1-B2</f>
        <v>0</v>
      </c>
    </row>
    <row r="5" spans="1:2" x14ac:dyDescent="0.25">
      <c r="A5" s="156" t="s">
        <v>50</v>
      </c>
      <c r="B5" s="156"/>
    </row>
    <row r="6" spans="1:2" x14ac:dyDescent="0.25">
      <c r="A6" s="84" t="s">
        <v>45</v>
      </c>
      <c r="B6" s="71" t="s">
        <v>48</v>
      </c>
    </row>
    <row r="7" spans="1:2" x14ac:dyDescent="0.25">
      <c r="A7" s="32"/>
      <c r="B7" s="33">
        <v>350</v>
      </c>
    </row>
    <row r="8" spans="1:2" x14ac:dyDescent="0.25">
      <c r="A8" s="32"/>
      <c r="B8" s="33"/>
    </row>
    <row r="9" spans="1:2" x14ac:dyDescent="0.25">
      <c r="A9" s="32"/>
      <c r="B9" s="33"/>
    </row>
    <row r="10" spans="1:2" x14ac:dyDescent="0.25">
      <c r="A10" s="32"/>
      <c r="B10" s="33"/>
    </row>
    <row r="11" spans="1:2" x14ac:dyDescent="0.25">
      <c r="A11" s="32"/>
      <c r="B11" s="33"/>
    </row>
    <row r="12" spans="1:2" x14ac:dyDescent="0.25">
      <c r="A12" s="32"/>
      <c r="B12" s="33"/>
    </row>
    <row r="13" spans="1:2" x14ac:dyDescent="0.25">
      <c r="A13" s="32"/>
      <c r="B13" s="33"/>
    </row>
    <row r="14" spans="1:2" x14ac:dyDescent="0.25">
      <c r="A14" s="84" t="s">
        <v>38</v>
      </c>
      <c r="B14" s="12">
        <f>SUM(B7:B13)</f>
        <v>350</v>
      </c>
    </row>
    <row r="16" spans="1:2" x14ac:dyDescent="0.25">
      <c r="A16" t="s">
        <v>69</v>
      </c>
    </row>
    <row r="17" spans="1:1" x14ac:dyDescent="0.25">
      <c r="A17" t="s">
        <v>70</v>
      </c>
    </row>
    <row r="18" spans="1:1" x14ac:dyDescent="0.25">
      <c r="A18" t="s">
        <v>71</v>
      </c>
    </row>
    <row r="19" spans="1:1" x14ac:dyDescent="0.25">
      <c r="A19" t="s">
        <v>72</v>
      </c>
    </row>
    <row r="20" spans="1:1" x14ac:dyDescent="0.25">
      <c r="A20" t="s">
        <v>73</v>
      </c>
    </row>
    <row r="21" spans="1:1" x14ac:dyDescent="0.25">
      <c r="A21" t="s">
        <v>74</v>
      </c>
    </row>
    <row r="22" spans="1:1" x14ac:dyDescent="0.25">
      <c r="A22" t="s">
        <v>75</v>
      </c>
    </row>
    <row r="23" spans="1:1" x14ac:dyDescent="0.25">
      <c r="A23" t="s">
        <v>87</v>
      </c>
    </row>
  </sheetData>
  <mergeCells count="1">
    <mergeCell ref="A5:B5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30"/>
  <sheetViews>
    <sheetView workbookViewId="0">
      <selection activeCell="I12" sqref="I12"/>
    </sheetView>
  </sheetViews>
  <sheetFormatPr baseColWidth="10" defaultColWidth="11.42578125" defaultRowHeight="15" x14ac:dyDescent="0.25"/>
  <cols>
    <col min="1" max="1" width="15.85546875" bestFit="1" customWidth="1"/>
    <col min="2" max="2" width="11.5703125" bestFit="1" customWidth="1"/>
  </cols>
  <sheetData>
    <row r="1" spans="1:2" x14ac:dyDescent="0.25">
      <c r="A1" s="30" t="s">
        <v>24</v>
      </c>
      <c r="B1" s="20">
        <v>350</v>
      </c>
    </row>
    <row r="2" spans="1:2" x14ac:dyDescent="0.25">
      <c r="A2" s="30" t="s">
        <v>25</v>
      </c>
      <c r="B2" s="31">
        <f>B14</f>
        <v>350</v>
      </c>
    </row>
    <row r="3" spans="1:2" x14ac:dyDescent="0.25">
      <c r="A3" s="30" t="s">
        <v>26</v>
      </c>
      <c r="B3" s="31">
        <f>B1-B2</f>
        <v>0</v>
      </c>
    </row>
    <row r="5" spans="1:2" x14ac:dyDescent="0.25">
      <c r="A5" s="156" t="s">
        <v>50</v>
      </c>
      <c r="B5" s="156"/>
    </row>
    <row r="6" spans="1:2" x14ac:dyDescent="0.25">
      <c r="A6" s="84" t="s">
        <v>45</v>
      </c>
      <c r="B6" s="71" t="s">
        <v>48</v>
      </c>
    </row>
    <row r="7" spans="1:2" x14ac:dyDescent="0.25">
      <c r="A7" s="32"/>
      <c r="B7" s="33">
        <v>350</v>
      </c>
    </row>
    <row r="8" spans="1:2" x14ac:dyDescent="0.25">
      <c r="A8" s="32"/>
      <c r="B8" s="33"/>
    </row>
    <row r="9" spans="1:2" x14ac:dyDescent="0.25">
      <c r="A9" s="32"/>
      <c r="B9" s="33"/>
    </row>
    <row r="10" spans="1:2" x14ac:dyDescent="0.25">
      <c r="A10" s="32"/>
      <c r="B10" s="33"/>
    </row>
    <row r="11" spans="1:2" x14ac:dyDescent="0.25">
      <c r="A11" s="32"/>
      <c r="B11" s="33"/>
    </row>
    <row r="12" spans="1:2" x14ac:dyDescent="0.25">
      <c r="A12" s="32"/>
      <c r="B12" s="33"/>
    </row>
    <row r="13" spans="1:2" x14ac:dyDescent="0.25">
      <c r="A13" s="32"/>
      <c r="B13" s="33"/>
    </row>
    <row r="14" spans="1:2" x14ac:dyDescent="0.25">
      <c r="A14" s="84" t="s">
        <v>38</v>
      </c>
      <c r="B14" s="12">
        <f>SUM(B7:B13)</f>
        <v>350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76</v>
      </c>
    </row>
    <row r="20" spans="1:1" x14ac:dyDescent="0.25">
      <c r="A20" t="s">
        <v>77</v>
      </c>
    </row>
    <row r="21" spans="1:1" x14ac:dyDescent="0.25">
      <c r="A21" t="s">
        <v>78</v>
      </c>
    </row>
    <row r="22" spans="1:1" x14ac:dyDescent="0.25">
      <c r="A22" t="s">
        <v>79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  <row r="26" spans="1:1" x14ac:dyDescent="0.25">
      <c r="A26" t="s">
        <v>83</v>
      </c>
    </row>
    <row r="27" spans="1:1" x14ac:dyDescent="0.25">
      <c r="A27" t="s">
        <v>84</v>
      </c>
    </row>
    <row r="28" spans="1:1" x14ac:dyDescent="0.25">
      <c r="A28" t="s">
        <v>85</v>
      </c>
    </row>
    <row r="29" spans="1:1" x14ac:dyDescent="0.25">
      <c r="A29" t="s">
        <v>86</v>
      </c>
    </row>
    <row r="30" spans="1:1" x14ac:dyDescent="0.25">
      <c r="A30" t="s">
        <v>88</v>
      </c>
    </row>
  </sheetData>
  <mergeCells count="1">
    <mergeCell ref="A5:B5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>
      <selection activeCell="N12" sqref="N12"/>
    </sheetView>
  </sheetViews>
  <sheetFormatPr baseColWidth="10" defaultRowHeight="15" x14ac:dyDescent="0.25"/>
  <cols>
    <col min="2" max="4" width="11.7109375" bestFit="1" customWidth="1"/>
    <col min="5" max="9" width="12.28515625" bestFit="1" customWidth="1"/>
    <col min="10" max="10" width="14.7109375" customWidth="1"/>
  </cols>
  <sheetData>
    <row r="1" spans="1:10" x14ac:dyDescent="0.25">
      <c r="A1" s="157" t="s">
        <v>89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0" x14ac:dyDescent="0.25">
      <c r="A2" s="96" t="s">
        <v>90</v>
      </c>
      <c r="B2" s="20">
        <v>25000</v>
      </c>
      <c r="C2" s="20">
        <v>50000</v>
      </c>
      <c r="D2" s="20">
        <v>75000</v>
      </c>
      <c r="E2" s="20">
        <v>100000</v>
      </c>
      <c r="F2" s="20">
        <v>150000</v>
      </c>
      <c r="G2" s="20">
        <v>200000</v>
      </c>
      <c r="H2" s="20">
        <v>300000</v>
      </c>
      <c r="I2" s="20">
        <v>400000</v>
      </c>
      <c r="J2" s="20">
        <v>5000000</v>
      </c>
    </row>
    <row r="3" spans="1:10" x14ac:dyDescent="0.25">
      <c r="A3" s="97" t="s">
        <v>44</v>
      </c>
      <c r="B3" s="20">
        <v>1000</v>
      </c>
      <c r="C3" s="20">
        <v>2000</v>
      </c>
      <c r="D3" s="20">
        <v>3000</v>
      </c>
      <c r="E3" s="20">
        <v>5000</v>
      </c>
      <c r="F3" s="20">
        <v>6500</v>
      </c>
      <c r="G3" s="20">
        <v>8000</v>
      </c>
      <c r="H3" s="20">
        <v>100000</v>
      </c>
      <c r="I3" s="20">
        <v>12500</v>
      </c>
      <c r="J3" s="20">
        <v>14000</v>
      </c>
    </row>
    <row r="5" spans="1:10" x14ac:dyDescent="0.25">
      <c r="A5" s="158" t="s">
        <v>91</v>
      </c>
      <c r="B5" s="158"/>
      <c r="C5" s="158"/>
      <c r="D5" s="158"/>
      <c r="E5" s="158"/>
      <c r="F5" s="158"/>
      <c r="G5" s="158"/>
      <c r="H5" s="158"/>
      <c r="I5" s="158"/>
      <c r="J5" s="158"/>
    </row>
    <row r="6" spans="1:10" x14ac:dyDescent="0.25">
      <c r="A6" s="98" t="s">
        <v>90</v>
      </c>
      <c r="B6" s="99">
        <v>25000</v>
      </c>
      <c r="C6" s="99">
        <v>50000</v>
      </c>
      <c r="D6" s="99">
        <v>75000</v>
      </c>
      <c r="E6" s="99">
        <v>100000</v>
      </c>
      <c r="F6" s="99">
        <v>150000</v>
      </c>
      <c r="G6" s="99">
        <v>200000</v>
      </c>
      <c r="H6" s="99">
        <v>300000</v>
      </c>
      <c r="I6" s="99">
        <v>400000</v>
      </c>
      <c r="J6" s="99">
        <v>5000000</v>
      </c>
    </row>
    <row r="7" spans="1:10" x14ac:dyDescent="0.25">
      <c r="A7" s="97" t="s">
        <v>44</v>
      </c>
      <c r="B7" s="20">
        <v>1000</v>
      </c>
      <c r="C7" s="20">
        <v>2000</v>
      </c>
      <c r="D7" s="20">
        <v>3000</v>
      </c>
      <c r="E7" s="20">
        <v>5000</v>
      </c>
      <c r="F7" s="20">
        <v>6500</v>
      </c>
      <c r="G7" s="20">
        <v>8000</v>
      </c>
      <c r="H7" s="20">
        <v>100000</v>
      </c>
      <c r="I7" s="20">
        <v>12500</v>
      </c>
      <c r="J7" s="20">
        <v>14000</v>
      </c>
    </row>
  </sheetData>
  <mergeCells count="2">
    <mergeCell ref="A1:J1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Gastos proyecto</vt:lpstr>
      <vt:lpstr>Nomina</vt:lpstr>
      <vt:lpstr>Equipo</vt:lpstr>
      <vt:lpstr>Imss</vt:lpstr>
      <vt:lpstr>Insumos</vt:lpstr>
      <vt:lpstr>Bonos</vt:lpstr>
      <vt:lpstr>Gasolina</vt:lpstr>
      <vt:lpstr>Administrativos</vt:lpstr>
      <vt:lpstr>Desgaste de Equipo</vt:lpstr>
      <vt:lpstr>Epp</vt:lpstr>
      <vt:lpstr>Compra de Equipo</vt:lpstr>
      <vt:lpstr>Tabla de montos </vt:lpstr>
      <vt:lpstr>'Gastos proyecto'!Área_de_impresión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cotizaciones sam</cp:lastModifiedBy>
  <cp:revision/>
  <cp:lastPrinted>2024-03-21T18:51:54Z</cp:lastPrinted>
  <dcterms:created xsi:type="dcterms:W3CDTF">2020-03-25T16:17:28Z</dcterms:created>
  <dcterms:modified xsi:type="dcterms:W3CDTF">2026-08-28T18:36:55Z</dcterms:modified>
  <cp:category/>
  <cp:contentStatus/>
</cp:coreProperties>
</file>